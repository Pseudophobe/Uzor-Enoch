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Check here for my Proces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<sst xmlns="http://schemas.openxmlformats.org/spreadsheetml/2006/main" count="755" uniqueCount="197">
  <si>
    <t>Using the data in the next Sheet, I did the following:</t>
  </si>
  <si>
    <t>I Applied basic formatting:</t>
  </si>
  <si>
    <r>
      <t xml:space="preserve">Bold the headers               </t>
    </r>
    <r>
      <rPr>
        <b/>
        <sz val="11"/>
        <color theme="1"/>
        <rFont val="Calibri"/>
        <charset val="134"/>
        <scheme val="minor"/>
      </rPr>
      <t xml:space="preserve">  </t>
    </r>
  </si>
  <si>
    <r>
      <t xml:space="preserve">Add borders to the table             </t>
    </r>
    <r>
      <rPr>
        <b/>
        <sz val="11"/>
        <color theme="1"/>
        <rFont val="Calibri"/>
        <charset val="134"/>
        <scheme val="minor"/>
      </rPr>
      <t xml:space="preserve"> </t>
    </r>
  </si>
  <si>
    <r>
      <t xml:space="preserve">Apply background color to header row  </t>
    </r>
    <r>
      <rPr>
        <b/>
        <sz val="11"/>
        <color theme="1"/>
        <rFont val="Calibri"/>
        <charset val="134"/>
        <scheme val="minor"/>
      </rPr>
      <t xml:space="preserve"> </t>
    </r>
  </si>
  <si>
    <r>
      <t xml:space="preserve">Format the Monthly Salary column as Currency           </t>
    </r>
    <r>
      <rPr>
        <b/>
        <sz val="11"/>
        <color theme="1"/>
        <rFont val="Calibri"/>
        <charset val="134"/>
        <scheme val="minor"/>
      </rPr>
      <t xml:space="preserve">  </t>
    </r>
  </si>
  <si>
    <t>2. Text Functions</t>
  </si>
  <si>
    <t>I Used the Data to perform the following:</t>
  </si>
  <si>
    <t xml:space="preserve">Extract the first name and last name from the Full Name column using appropriate text functions.             </t>
  </si>
  <si>
    <t xml:space="preserve">I Created a column that shows the email address for each employee in this format:       </t>
  </si>
  <si>
    <t>firstname.lastname@dame.com</t>
  </si>
  <si>
    <t xml:space="preserve">Create a column that shows the length of each full name.            </t>
  </si>
  <si>
    <t xml:space="preserve">I Converted the department name to:            </t>
  </si>
  <si>
    <t xml:space="preserve">All uppercase (UPPER)                       </t>
  </si>
  <si>
    <t xml:space="preserve">All lowercase (LOWER)                         </t>
  </si>
  <si>
    <t xml:space="preserve">Proper case (PROPER)                            </t>
  </si>
  <si>
    <t xml:space="preserve">I Removed any extra spaces in names using the TRIM function.       </t>
  </si>
  <si>
    <t>3. Aggregate functions</t>
  </si>
  <si>
    <t>Basic Aggregations</t>
  </si>
  <si>
    <t>- Find:</t>
  </si>
  <si>
    <t xml:space="preserve">Total Salary using SUM                          </t>
  </si>
  <si>
    <t xml:space="preserve">Average Salary using AVERAGE                   </t>
  </si>
  <si>
    <t xml:space="preserve">Total number of employees using COUNTA                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</si>
  <si>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</si>
  <si>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</si>
  <si>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</si>
  <si>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</si>
  <si>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</si>
  <si>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</si>
  <si>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</si>
  <si>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t xml:space="preserve">                         THANK YOU</t>
  </si>
  <si>
    <t>Employee ID</t>
  </si>
  <si>
    <t>Last name</t>
  </si>
  <si>
    <t>First Name</t>
  </si>
  <si>
    <t>Department</t>
  </si>
  <si>
    <t>Job Title</t>
  </si>
  <si>
    <t>Gender</t>
  </si>
  <si>
    <t>Salary</t>
  </si>
  <si>
    <t>Experience (Years)</t>
  </si>
  <si>
    <t>City</t>
  </si>
  <si>
    <t>Emails</t>
  </si>
  <si>
    <t>Length of Full Name</t>
  </si>
  <si>
    <t>Department(UPPER)</t>
  </si>
  <si>
    <t>Department(LOWER)</t>
  </si>
  <si>
    <t>Department(PROPER)</t>
  </si>
  <si>
    <t>E001</t>
  </si>
  <si>
    <t>Sade</t>
  </si>
  <si>
    <t>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</si>
  <si>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</si>
  <si>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</si>
  <si>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</si>
  <si>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</si>
  <si>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</si>
  <si>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</si>
  <si>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</si>
  <si>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</si>
  <si>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</si>
  <si>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</si>
  <si>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</t>
  </si>
  <si>
    <t>Udo</t>
  </si>
  <si>
    <t>Sales</t>
  </si>
  <si>
    <t>E004</t>
  </si>
  <si>
    <t>Finance</t>
  </si>
  <si>
    <t>Sales Executive</t>
  </si>
  <si>
    <t>Kano</t>
  </si>
  <si>
    <t>E005</t>
  </si>
  <si>
    <t>Ibrahim</t>
  </si>
  <si>
    <t>Musa</t>
  </si>
  <si>
    <t>Lagos</t>
  </si>
  <si>
    <t>E006</t>
  </si>
  <si>
    <t>Tunde</t>
  </si>
  <si>
    <t>Salisu</t>
  </si>
  <si>
    <t>Auditor</t>
  </si>
  <si>
    <t>E007</t>
  </si>
  <si>
    <t>James</t>
  </si>
  <si>
    <t>Obi</t>
  </si>
  <si>
    <t>E008</t>
  </si>
  <si>
    <t>Abuja</t>
  </si>
  <si>
    <t>E009</t>
  </si>
  <si>
    <t>HR Manager</t>
  </si>
  <si>
    <t>E010</t>
  </si>
  <si>
    <t>Tope</t>
  </si>
  <si>
    <t>Ade</t>
  </si>
  <si>
    <t>HR</t>
  </si>
  <si>
    <t>E011</t>
  </si>
  <si>
    <t>Sales Manager</t>
  </si>
  <si>
    <t>E012</t>
  </si>
  <si>
    <t>Chika</t>
  </si>
  <si>
    <t>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</si>
  <si>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</si>
  <si>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</si>
  <si>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</si>
  <si>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</si>
  <si>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</si>
  <si>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</si>
  <si>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</si>
  <si>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</si>
  <si>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</si>
  <si>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</t>
  </si>
  <si>
    <t>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</si>
  <si>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</si>
  <si>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</si>
  <si>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</si>
  <si>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</si>
  <si>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</si>
  <si>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</si>
  <si>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</si>
  <si>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</si>
  <si>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</t>
  </si>
  <si>
    <t>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</si>
  <si>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</si>
  <si>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</si>
  <si>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</si>
  <si>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</si>
  <si>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</si>
  <si>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</si>
  <si>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</si>
  <si>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</si>
  <si>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</si>
  <si>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</si>
  <si>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</si>
  <si>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</si>
  <si>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</si>
  <si>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</si>
  <si>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</si>
  <si>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</si>
  <si>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</si>
  <si>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</si>
  <si>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</si>
  <si>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</si>
  <si>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</si>
  <si>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</si>
  <si>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</si>
  <si>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</t>
  </si>
  <si>
    <t>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</si>
  <si>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</si>
  <si>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</si>
  <si>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</si>
  <si>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</si>
  <si>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</si>
  <si>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</si>
  <si>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</si>
  <si>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</si>
  <si>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</si>
  <si>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</si>
  <si>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</si>
  <si>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</si>
  <si>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</si>
  <si>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</si>
  <si>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</si>
  <si>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</si>
  <si>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</si>
  <si>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</si>
  <si>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</si>
  <si>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</si>
  <si>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</si>
  <si>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</si>
  <si>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</si>
  <si>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</si>
  <si>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</si>
  <si>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</si>
  <si>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</si>
  <si>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</si>
  <si>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</si>
  <si>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</si>
  <si>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</si>
  <si>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</si>
  <si>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</si>
  <si>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</si>
  <si>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</si>
  <si>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</si>
  <si>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</si>
  <si>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</si>
  <si>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</si>
  <si>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</si>
  <si>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</si>
  <si>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</si>
  <si>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</si>
  <si>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</si>
  <si>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</si>
  <si>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</si>
  <si>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</si>
  <si>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</si>
  <si>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</si>
  <si>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</si>
  <si>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</si>
  <si>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</si>
  <si>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TOTAL SALARY</t>
  </si>
  <si>
    <t>AVERAGE SALARY</t>
  </si>
  <si>
    <t>"COUNT A" OF EMPLOYEES</t>
  </si>
  <si>
    <t>SALES TOTAL SALARIES</t>
  </si>
  <si>
    <t>HR AVERAGE SALARY</t>
  </si>
  <si>
    <t>TOTAL SALARY OF LAGOS EMPLOYESS WITH OVER 3YRS</t>
  </si>
  <si>
    <t>AVG SALARY FEMALE EMPLOYEES IN LAGOS</t>
  </si>
  <si>
    <t>COUNT MALE EMPLOYEES IN LAGOS</t>
  </si>
  <si>
    <t>THIS STRESSED ME A LOT ---&gt;&gt;</t>
  </si>
  <si>
    <t>MAX SALARY OF EMPLOYEES IN IT DEPT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</si>
</sst>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44" fontId="1" fillId="2" borderId="2" xfId="2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4" xfId="0" applyFont="1" applyBorder="1"/>
    <xf numFmtId="0" fontId="2" fillId="0" borderId="5" xfId="0" applyFont="1" applyBorder="1"/>
    <xf numFmtId="0" fontId="0" fillId="0" borderId="5" xfId="0" applyFont="1" applyBorder="1"/>
    <xf numFmtId="44" fontId="0" fillId="0" borderId="5" xfId="2" applyFont="1" applyBorder="1"/>
    <xf numFmtId="0" fontId="0" fillId="0" borderId="6" xfId="0" applyFont="1" applyBorder="1"/>
    <xf numFmtId="0" fontId="2" fillId="0" borderId="2" xfId="0" applyFont="1" applyBorder="1" applyAlignment="1"/>
    <xf numFmtId="0" fontId="2" fillId="0" borderId="0" xfId="0" applyFont="1" applyAlignment="1"/>
    <xf numFmtId="0" fontId="2" fillId="0" borderId="0" xfId="0" applyNumberFormat="1" applyFont="1" applyAlignment="1"/>
    <xf numFmtId="0" fontId="2" fillId="0" borderId="5" xfId="0" applyFont="1" applyBorder="1" applyAlignment="1"/>
    <xf numFmtId="0" fontId="0" fillId="0" borderId="7" xfId="0" applyFont="1" applyBorder="1"/>
    <xf numFmtId="0" fontId="2" fillId="0" borderId="8" xfId="0" applyFont="1" applyBorder="1"/>
    <xf numFmtId="0" fontId="0" fillId="0" borderId="8" xfId="0" applyFont="1" applyBorder="1"/>
    <xf numFmtId="44" fontId="0" fillId="0" borderId="8" xfId="2" applyFont="1" applyBorder="1"/>
    <xf numFmtId="0" fontId="0" fillId="0" borderId="9" xfId="0" applyFont="1" applyBorder="1"/>
    <xf numFmtId="0" fontId="2" fillId="0" borderId="8" xfId="0" applyFont="1" applyBorder="1" applyAlignment="1"/>
    <xf numFmtId="0" fontId="2" fillId="0" borderId="7" xfId="0" applyFont="1" applyBorder="1" applyAlignment="1"/>
    <xf numFmtId="44" fontId="2" fillId="0" borderId="8" xfId="2" applyFont="1" applyBorder="1" applyAlignment="1"/>
    <xf numFmtId="0" fontId="2" fillId="0" borderId="9" xfId="0" applyFont="1" applyBorder="1" applyAlignment="1"/>
    <xf numFmtId="0" fontId="2" fillId="0" borderId="8" xfId="0" applyNumberFormat="1" applyFont="1" applyBorder="1" applyAlignment="1"/>
    <xf numFmtId="0" fontId="2" fillId="0" borderId="0" xfId="0" applyNumberFormat="1" applyFont="1" applyBorder="1" applyAlignment="1"/>
    <xf numFmtId="44" fontId="0" fillId="0" borderId="0" xfId="0" applyNumberFormat="1" applyFont="1" applyAlignment="1"/>
    <xf numFmtId="0" fontId="0" fillId="0" borderId="0" xfId="0" applyFont="1"/>
    <xf numFmtId="0" fontId="2" fillId="0" borderId="0" xfId="0" applyFont="1"/>
    <xf numFmtId="0" fontId="3" fillId="0" borderId="0" xfId="6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ont>
        <name val="Calibri"/>
        <scheme val="none"/>
        <b val="0"/>
        <i val="0"/>
        <strike val="0"/>
        <u val="none"/>
        <sz val="11"/>
        <color theme="1"/>
      </font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N102" totalsRowShown="0">
  <autoFilter xmlns:etc="http://www.wps.cn/officeDocument/2017/etCustomData" ref="A1:N102" etc:filterBottomFollowUsedRange="0"/>
  <tableColumns count="14">
    <tableColumn id="1" name="Employee ID" dataDxfId="0"/>
    <tableColumn id="14" name="Last name" dataDxfId="1"/>
    <tableColumn id="15" name="First Name" dataDxfId="2"/>
    <tableColumn id="3" name="Department" dataDxfId="3"/>
    <tableColumn id="4" name="Job Title" dataDxfId="4"/>
    <tableColumn id="5" name="Gender" dataDxfId="5"/>
    <tableColumn id="6" name="Salary" dataDxfId="6"/>
    <tableColumn id="7" name="Experience (Years)" dataDxfId="7"/>
    <tableColumn id="8" name="City" dataDxfId="8"/>
    <tableColumn id="16" name="Emails" dataDxfId="9">
      <calculatedColumnFormula>LOWER(Table1[[#This Row],[First Name]]&amp;"."&amp;Table1[[#This Row],[Last name]]&amp;"@dame.com")</calculatedColumnFormula>
    </tableColumn>
    <tableColumn id="17" name="Length of Full Name" dataDxfId="10">
      <calculatedColumnFormula>LEN(Table1[[#This Row],[Last name]])+LEN(Table1[[#This Row],[First Name]])</calculatedColumnFormula>
    </tableColumn>
    <tableColumn id="18" name="Department(UPPER)" dataDxfId="11">
      <calculatedColumnFormula>UPPER(Table1[[#This Row],[Department]])</calculatedColumnFormula>
    </tableColumn>
    <tableColumn id="19" name="Department(LOWER)" dataDxfId="12">
      <calculatedColumnFormula>LOWER(D2)</calculatedColumnFormula>
    </tableColumn>
    <tableColumn id="20" name="Department(PROPER)" dataDxfId="13">
      <calculatedColumnFormula>PROPER(D2)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rstname.lastname@dame.com" TargetMode="External"/><Relationship Id="rId1" Type="http://schemas.openxmlformats.org/officeDocument/2006/relationships/hyperlink" Target="https://forms.gle/Y7GVAUYWvy7mLTRe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workbookViewId="0">
      <selection activeCell="A1" sqref="A1"/>
    </sheetView>
  </sheetViews>
  <sheetFormatPr defaultColWidth="14.4285714285714" defaultRowHeight="15" customHeight="1"/>
  <cols>
    <col min="1" max="1" width="127" customWidth="1"/>
    <col min="2" max="26" width="9" customWidth="1"/>
  </cols>
  <sheetData>
    <row r="1" ht="16.5" customHeight="1" spans="1:1">
      <c r="A1" s="26" t="s">
        <v>0</v>
      </c>
    </row>
    <row r="2" ht="16.5" customHeight="1"/>
    <row r="3" ht="16.5" customHeight="1" spans="1:1">
      <c r="A3" s="26" t="s">
        <v>1</v>
      </c>
    </row>
    <row r="4" ht="16.5" customHeight="1"/>
    <row r="5" ht="16.5" customHeight="1" spans="1:1">
      <c r="A5" s="27" t="s">
        <v>2</v>
      </c>
    </row>
    <row r="6" ht="16.5" customHeight="1"/>
    <row r="7" ht="16.5" customHeight="1" spans="1:1">
      <c r="A7" s="27" t="s">
        <v>3</v>
      </c>
    </row>
    <row r="8" ht="16.5" customHeight="1"/>
    <row r="9" ht="16.5" customHeight="1" spans="1:1">
      <c r="A9" s="27" t="s">
        <v>4</v>
      </c>
    </row>
    <row r="10" ht="16.5" customHeight="1"/>
    <row r="11" ht="16.5" customHeight="1" spans="1:1">
      <c r="A11" s="27" t="s">
        <v>5</v>
      </c>
    </row>
    <row r="12" ht="16.5" customHeight="1"/>
    <row r="13" ht="16.5" customHeight="1" spans="1:1">
      <c r="A13" s="26" t="s">
        <v>6</v>
      </c>
    </row>
    <row r="14" ht="16.5" customHeight="1"/>
    <row r="15" ht="16.5" customHeight="1" spans="1:1">
      <c r="A15" s="26" t="s">
        <v>7</v>
      </c>
    </row>
    <row r="16" ht="16.5" customHeight="1"/>
    <row r="17" ht="16.5" customHeight="1" spans="1:1">
      <c r="A17" s="27" t="s">
        <v>8</v>
      </c>
    </row>
    <row r="18" ht="16.5" customHeight="1"/>
    <row r="19" ht="16.5" customHeight="1" spans="1:1">
      <c r="A19" s="27" t="s">
        <v>9</v>
      </c>
    </row>
    <row r="20" ht="16.5" customHeight="1" spans="1:1">
      <c r="A20" s="28" t="s">
        <v>10</v>
      </c>
    </row>
    <row r="21" ht="16.5" customHeight="1"/>
    <row r="22" ht="16.5" customHeight="1" spans="1:1">
      <c r="A22" s="27" t="s">
        <v>11</v>
      </c>
    </row>
    <row r="23" ht="16.5" customHeight="1"/>
    <row r="24" ht="16.5" customHeight="1" spans="1:1">
      <c r="A24" s="27" t="s">
        <v>12</v>
      </c>
    </row>
    <row r="25" ht="16.5" customHeight="1"/>
    <row r="26" ht="16.5" customHeight="1" spans="1:1">
      <c r="A26" s="27" t="s">
        <v>13</v>
      </c>
    </row>
    <row r="27" ht="16.5" customHeight="1"/>
    <row r="28" ht="16.5" customHeight="1" spans="1:1">
      <c r="A28" s="27" t="s">
        <v>14</v>
      </c>
    </row>
    <row r="29" ht="16.5" customHeight="1"/>
    <row r="30" ht="16.5" customHeight="1" spans="1:1">
      <c r="A30" s="27" t="s">
        <v>15</v>
      </c>
    </row>
    <row r="31" ht="16.5" customHeight="1"/>
    <row r="32" ht="16.5" customHeight="1" spans="1:1">
      <c r="A32" s="27" t="s">
        <v>16</v>
      </c>
    </row>
    <row r="33" ht="16.5" customHeight="1"/>
    <row r="34" ht="16.5" customHeight="1"/>
    <row r="35" ht="16.5" customHeight="1" spans="1:1">
      <c r="A35" s="26" t="s">
        <v>17</v>
      </c>
    </row>
    <row r="36" ht="16.5" customHeight="1"/>
    <row r="37" ht="16.5" customHeight="1" spans="1:1">
      <c r="A37" s="26" t="s">
        <v>18</v>
      </c>
    </row>
    <row r="38" ht="16.5" customHeight="1"/>
    <row r="39" ht="16.5" customHeight="1" spans="1:1">
      <c r="A39" s="26" t="s">
        <v>19</v>
      </c>
    </row>
    <row r="40" ht="16.5" customHeight="1"/>
    <row r="41" ht="16.5" customHeight="1" spans="1:1">
      <c r="A41" s="27" t="s">
        <v>20</v>
      </c>
    </row>
    <row r="42" ht="16.5" customHeight="1"/>
    <row r="43" ht="16.5" customHeight="1" spans="1:1">
      <c r="A43" s="27" t="s">
        <v>21</v>
      </c>
    </row>
    <row r="44" ht="16.5" customHeight="1"/>
    <row r="45" ht="16.5" customHeight="1" spans="1:1">
      <c r="A45" s="27" t="s">
        <v>22</v>
      </c>
    </row>
    <row r="46" ht="16.5" customHeight="1"/>
    <row r="47" ht="16.5" customHeight="1"/>
    <row r="48" ht="16.5" customHeight="1" spans="1:1">
      <c r="A48" s="26" t="s">
        <v>23</v>
      </c>
    </row>
    <row r="49" ht="16.5" customHeight="1"/>
    <row r="50" ht="16.5" customHeight="1" spans="1:1">
      <c r="A50" s="26" t="s">
        <v>24</v>
      </c>
    </row>
    <row r="51" ht="16.5" customHeight="1"/>
    <row r="52" ht="16.5" customHeight="1" spans="1:1">
      <c r="A52" s="26" t="s">
        <v>25</v>
      </c>
    </row>
    <row r="53" ht="16.5" customHeight="1"/>
    <row r="54" ht="16.5" customHeight="1" spans="1:1">
      <c r="A54" s="26" t="s">
        <v>26</v>
      </c>
    </row>
    <row r="55" ht="16.5" customHeight="1"/>
    <row r="56" ht="16.5" customHeight="1" spans="1:1">
      <c r="A56" s="26" t="s">
        <v>27</v>
      </c>
    </row>
    <row r="57" ht="16.5" customHeight="1"/>
    <row r="58" ht="16.5" customHeight="1" spans="1:1">
      <c r="A58" s="26" t="s">
        <v>28</v>
      </c>
    </row>
    <row r="59" ht="16.5" customHeight="1"/>
    <row r="60" ht="16.5" customHeight="1" spans="1:1">
      <c r="A60" s="26" t="s">
        <v>29</v>
      </c>
    </row>
    <row r="61" ht="16.5" customHeight="1"/>
    <row r="62" ht="16.5" customHeight="1"/>
    <row r="63" ht="16.5" customHeight="1"/>
    <row r="64" ht="16.5" customHeight="1" spans="1:1">
      <c r="A64" s="29" t="s">
        <v>30</v>
      </c>
    </row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ef="A64" r:id="rId1" display="                         THANK YOU"/>
    <hyperlink ref="A20" r:id="rId2" display="firstname.lastname@dame.com" tooltip="mailto:firstname.lastname@dame.com"/>
  </hyperlink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"/>
  <sheetViews>
    <sheetView zoomScale="91" zoomScaleNormal="91" workbookViewId="0">
      <selection activeCell="E122" sqref="E122"/>
    </sheetView>
  </sheetViews>
  <sheetFormatPr defaultColWidth="14.4285714285714" defaultRowHeight="15" customHeight="1"/>
  <cols>
    <col min="1" max="1" width="16" customWidth="1"/>
    <col min="2" max="4" width="18.7142857142857" customWidth="1"/>
    <col min="5" max="5" width="27" customWidth="1"/>
    <col min="6" max="6" width="52.5714285714286" customWidth="1"/>
    <col min="7" max="7" width="22.5714285714286" customWidth="1"/>
    <col min="8" max="8" width="19.2857142857143" customWidth="1"/>
    <col min="9" max="9" width="22.7142857142857" customWidth="1"/>
    <col min="10" max="10" width="32.2857142857143" customWidth="1"/>
    <col min="11" max="11" width="25.1428571428571" customWidth="1"/>
    <col min="12" max="12" width="24.5714285714286" customWidth="1"/>
    <col min="13" max="13" width="22.1428571428571" customWidth="1"/>
    <col min="14" max="14" width="18" customWidth="1"/>
    <col min="15" max="15" width="30.1428571428571" customWidth="1"/>
    <col min="16" max="28" width="9" customWidth="1"/>
  </cols>
  <sheetData>
    <row r="1" ht="16.5" customHeight="1" spans="1:14">
      <c r="A1" s="1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3" t="s">
        <v>37</v>
      </c>
      <c r="H1" s="2" t="s">
        <v>38</v>
      </c>
      <c r="I1" s="4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</row>
    <row r="2" ht="16.5" customHeight="1" spans="1:14">
      <c r="A2" s="5" t="s">
        <v>45</v>
      </c>
      <c r="B2" s="6" t="s">
        <v>46</v>
      </c>
      <c r="C2" s="6" t="s">
        <v>47</v>
      </c>
      <c r="D2" s="7" t="s">
        <v>48</v>
      </c>
      <c r="E2" s="7" t="s">
        <v>49</v>
      </c>
      <c r="F2" s="7" t="s">
        <v>50</v>
      </c>
      <c r="G2" s="8">
        <v>400712</v>
      </c>
      <c r="H2" s="7">
        <v>4</v>
      </c>
      <c r="I2" s="9" t="s">
        <v>51</v>
      </c>
      <c r="J2" s="10" t="str">
        <f>LOWER(Table1[[#This Row],[First Name]]&amp;"."&amp;Table1[[#This Row],[Last name]]&amp;"@dame.com")</f>
        <v>bassey.sade@dame.com</v>
      </c>
      <c r="K2" s="11">
        <f>LEN(Table1[[#This Row],[Last name]])+LEN(Table1[[#This Row],[First Name]])</f>
        <v>10</v>
      </c>
      <c r="L2" s="11" t="str">
        <f>UPPER(Table1[[#This Row],[Department]])</f>
        <v>IT</v>
      </c>
      <c r="M2" s="11" t="str">
        <f t="shared" ref="M2:M33" si="0">LOWER(D2)</f>
        <v>it</v>
      </c>
      <c r="N2" s="12" t="str">
        <f t="shared" ref="N2:N33" si="1">PROPER(D2)</f>
        <v>It</v>
      </c>
    </row>
    <row r="3" ht="16.5" customHeight="1" spans="1:14">
      <c r="A3" s="5" t="s">
        <v>52</v>
      </c>
      <c r="B3" s="6" t="s">
        <v>46</v>
      </c>
      <c r="C3" s="6" t="s">
        <v>47</v>
      </c>
      <c r="D3" s="7" t="s">
        <v>53</v>
      </c>
      <c r="E3" s="7" t="s">
        <v>54</v>
      </c>
      <c r="F3" s="7" t="s">
        <v>55</v>
      </c>
      <c r="G3" s="8">
        <v>200754</v>
      </c>
      <c r="H3" s="7">
        <v>10</v>
      </c>
      <c r="I3" s="9" t="s">
        <v>56</v>
      </c>
      <c r="J3" s="13" t="str">
        <f>LOWER(Table1[[#This Row],[First Name]]&amp;"."&amp;Table1[[#This Row],[Last name]]&amp;"@dame.com")</f>
        <v>bassey.sade@dame.com</v>
      </c>
      <c r="K3" s="11">
        <f>LEN(Table1[[#This Row],[Last name]])+LEN(Table1[[#This Row],[First Name]])</f>
        <v>10</v>
      </c>
      <c r="L3" s="11" t="str">
        <f>UPPER(Table1[[#This Row],[Department]])</f>
        <v>MARKETING</v>
      </c>
      <c r="M3" s="11" t="str">
        <f t="shared" si="0"/>
        <v>marketing</v>
      </c>
      <c r="N3" s="12" t="str">
        <f t="shared" si="1"/>
        <v>Marketing</v>
      </c>
    </row>
    <row r="4" ht="16.5" customHeight="1" spans="1:14">
      <c r="A4" s="5" t="s">
        <v>57</v>
      </c>
      <c r="B4" s="6" t="s">
        <v>58</v>
      </c>
      <c r="C4" s="6" t="s">
        <v>59</v>
      </c>
      <c r="D4" s="7" t="s">
        <v>60</v>
      </c>
      <c r="E4" s="7" t="s">
        <v>54</v>
      </c>
      <c r="F4" s="7" t="s">
        <v>50</v>
      </c>
      <c r="G4" s="8">
        <v>457735</v>
      </c>
      <c r="H4" s="7">
        <v>3</v>
      </c>
      <c r="I4" s="9" t="s">
        <v>51</v>
      </c>
      <c r="J4" s="13" t="str">
        <f>LOWER(Table1[[#This Row],[First Name]]&amp;"."&amp;Table1[[#This Row],[Last name]]&amp;"@dame.com")</f>
        <v>udo.faith@dame.com</v>
      </c>
      <c r="K4" s="11">
        <f>LEN(Table1[[#This Row],[Last name]])+LEN(Table1[[#This Row],[First Name]])</f>
        <v>8</v>
      </c>
      <c r="L4" s="11" t="str">
        <f>UPPER(Table1[[#This Row],[Department]])</f>
        <v>SALES</v>
      </c>
      <c r="M4" s="11" t="str">
        <f t="shared" si="0"/>
        <v>sales</v>
      </c>
      <c r="N4" s="12" t="str">
        <f t="shared" si="1"/>
        <v>Sales</v>
      </c>
    </row>
    <row r="5" ht="16.5" customHeight="1" spans="1:14">
      <c r="A5" s="5" t="s">
        <v>61</v>
      </c>
      <c r="B5" s="6" t="s">
        <v>46</v>
      </c>
      <c r="C5" s="6" t="s">
        <v>47</v>
      </c>
      <c r="D5" s="7" t="s">
        <v>62</v>
      </c>
      <c r="E5" s="7" t="s">
        <v>63</v>
      </c>
      <c r="F5" s="7" t="s">
        <v>50</v>
      </c>
      <c r="G5" s="8">
        <v>337091</v>
      </c>
      <c r="H5" s="7">
        <v>2</v>
      </c>
      <c r="I5" s="9" t="s">
        <v>64</v>
      </c>
      <c r="J5" s="13" t="str">
        <f>LOWER(Table1[[#This Row],[First Name]]&amp;"."&amp;Table1[[#This Row],[Last name]]&amp;"@dame.com")</f>
        <v>bassey.sade@dame.com</v>
      </c>
      <c r="K5" s="11">
        <f>LEN(Table1[[#This Row],[Last name]])+LEN(Table1[[#This Row],[First Name]])</f>
        <v>10</v>
      </c>
      <c r="L5" s="11" t="str">
        <f>UPPER(Table1[[#This Row],[Department]])</f>
        <v>FINANCE</v>
      </c>
      <c r="M5" s="11" t="str">
        <f t="shared" si="0"/>
        <v>finance</v>
      </c>
      <c r="N5" s="12" t="str">
        <f t="shared" si="1"/>
        <v>Finance</v>
      </c>
    </row>
    <row r="6" ht="16.5" customHeight="1" spans="1:14">
      <c r="A6" s="5" t="s">
        <v>65</v>
      </c>
      <c r="B6" s="6" t="s">
        <v>66</v>
      </c>
      <c r="C6" s="6" t="s">
        <v>67</v>
      </c>
      <c r="D6" s="7" t="s">
        <v>48</v>
      </c>
      <c r="E6" s="7" t="s">
        <v>54</v>
      </c>
      <c r="F6" s="7" t="s">
        <v>55</v>
      </c>
      <c r="G6" s="8">
        <v>436492</v>
      </c>
      <c r="H6" s="7">
        <v>5</v>
      </c>
      <c r="I6" s="9" t="s">
        <v>68</v>
      </c>
      <c r="J6" s="13" t="str">
        <f>LOWER(Table1[[#This Row],[First Name]]&amp;"."&amp;Table1[[#This Row],[Last name]]&amp;"@dame.com")</f>
        <v>musa.ibrahim@dame.com</v>
      </c>
      <c r="K6" s="11">
        <f>LEN(Table1[[#This Row],[Last name]])+LEN(Table1[[#This Row],[First Name]])</f>
        <v>11</v>
      </c>
      <c r="L6" s="11" t="str">
        <f>UPPER(Table1[[#This Row],[Department]])</f>
        <v>IT</v>
      </c>
      <c r="M6" s="11" t="str">
        <f t="shared" si="0"/>
        <v>it</v>
      </c>
      <c r="N6" s="12" t="str">
        <f t="shared" si="1"/>
        <v>It</v>
      </c>
    </row>
    <row r="7" ht="16.5" customHeight="1" spans="1:14">
      <c r="A7" s="5" t="s">
        <v>69</v>
      </c>
      <c r="B7" s="6" t="s">
        <v>70</v>
      </c>
      <c r="C7" s="6" t="s">
        <v>71</v>
      </c>
      <c r="D7" s="7" t="s">
        <v>48</v>
      </c>
      <c r="E7" s="7" t="s">
        <v>72</v>
      </c>
      <c r="F7" s="7" t="s">
        <v>50</v>
      </c>
      <c r="G7" s="8">
        <v>404484</v>
      </c>
      <c r="H7" s="7">
        <v>10</v>
      </c>
      <c r="I7" s="9" t="s">
        <v>64</v>
      </c>
      <c r="J7" s="13" t="str">
        <f>LOWER(Table1[[#This Row],[First Name]]&amp;"."&amp;Table1[[#This Row],[Last name]]&amp;"@dame.com")</f>
        <v>salisu.tunde@dame.com</v>
      </c>
      <c r="K7" s="11">
        <f>LEN(Table1[[#This Row],[Last name]])+LEN(Table1[[#This Row],[First Name]])</f>
        <v>11</v>
      </c>
      <c r="L7" s="11" t="str">
        <f>UPPER(Table1[[#This Row],[Department]])</f>
        <v>IT</v>
      </c>
      <c r="M7" s="11" t="str">
        <f t="shared" si="0"/>
        <v>it</v>
      </c>
      <c r="N7" s="12" t="str">
        <f t="shared" si="1"/>
        <v>It</v>
      </c>
    </row>
    <row r="8" ht="16.5" customHeight="1" spans="1:14">
      <c r="A8" s="5" t="s">
        <v>73</v>
      </c>
      <c r="B8" s="6" t="s">
        <v>74</v>
      </c>
      <c r="C8" s="6" t="s">
        <v>75</v>
      </c>
      <c r="D8" s="7" t="s">
        <v>48</v>
      </c>
      <c r="E8" s="7" t="s">
        <v>49</v>
      </c>
      <c r="F8" s="7" t="s">
        <v>50</v>
      </c>
      <c r="G8" s="8">
        <v>450806</v>
      </c>
      <c r="H8" s="7">
        <v>3</v>
      </c>
      <c r="I8" s="9" t="s">
        <v>56</v>
      </c>
      <c r="J8" s="13" t="str">
        <f>LOWER(Table1[[#This Row],[First Name]]&amp;"."&amp;Table1[[#This Row],[Last name]]&amp;"@dame.com")</f>
        <v>obi.james@dame.com</v>
      </c>
      <c r="K8" s="11">
        <f>LEN(Table1[[#This Row],[Last name]])+LEN(Table1[[#This Row],[First Name]])</f>
        <v>8</v>
      </c>
      <c r="L8" s="11" t="str">
        <f>UPPER(Table1[[#This Row],[Department]])</f>
        <v>IT</v>
      </c>
      <c r="M8" s="11" t="str">
        <f t="shared" si="0"/>
        <v>it</v>
      </c>
      <c r="N8" s="12" t="str">
        <f t="shared" si="1"/>
        <v>It</v>
      </c>
    </row>
    <row r="9" ht="16.5" customHeight="1" spans="1:14">
      <c r="A9" s="5" t="s">
        <v>76</v>
      </c>
      <c r="B9" s="6" t="s">
        <v>66</v>
      </c>
      <c r="C9" s="6" t="s">
        <v>67</v>
      </c>
      <c r="D9" s="7" t="s">
        <v>62</v>
      </c>
      <c r="E9" s="7" t="s">
        <v>54</v>
      </c>
      <c r="F9" s="7" t="s">
        <v>50</v>
      </c>
      <c r="G9" s="8">
        <v>307961</v>
      </c>
      <c r="H9" s="7">
        <v>2</v>
      </c>
      <c r="I9" s="9" t="s">
        <v>77</v>
      </c>
      <c r="J9" s="13" t="str">
        <f>LOWER(Table1[[#This Row],[First Name]]&amp;"."&amp;Table1[[#This Row],[Last name]]&amp;"@dame.com")</f>
        <v>musa.ibrahim@dame.com</v>
      </c>
      <c r="K9" s="11">
        <f>LEN(Table1[[#This Row],[Last name]])+LEN(Table1[[#This Row],[First Name]])</f>
        <v>11</v>
      </c>
      <c r="L9" s="11" t="str">
        <f>UPPER(Table1[[#This Row],[Department]])</f>
        <v>FINANCE</v>
      </c>
      <c r="M9" s="11" t="str">
        <f t="shared" si="0"/>
        <v>finance</v>
      </c>
      <c r="N9" s="12" t="str">
        <f t="shared" si="1"/>
        <v>Finance</v>
      </c>
    </row>
    <row r="10" ht="16.5" customHeight="1" spans="1:14">
      <c r="A10" s="5" t="s">
        <v>78</v>
      </c>
      <c r="B10" s="6" t="s">
        <v>58</v>
      </c>
      <c r="C10" s="6" t="s">
        <v>59</v>
      </c>
      <c r="D10" s="7" t="s">
        <v>60</v>
      </c>
      <c r="E10" s="7" t="s">
        <v>79</v>
      </c>
      <c r="F10" s="7" t="s">
        <v>55</v>
      </c>
      <c r="G10" s="8">
        <v>246421</v>
      </c>
      <c r="H10" s="7">
        <v>6</v>
      </c>
      <c r="I10" s="9" t="s">
        <v>68</v>
      </c>
      <c r="J10" s="13" t="str">
        <f>LOWER(Table1[[#This Row],[First Name]]&amp;"."&amp;Table1[[#This Row],[Last name]]&amp;"@dame.com")</f>
        <v>udo.faith@dame.com</v>
      </c>
      <c r="K10" s="11">
        <f>LEN(Table1[[#This Row],[Last name]])+LEN(Table1[[#This Row],[First Name]])</f>
        <v>8</v>
      </c>
      <c r="L10" s="11" t="str">
        <f>UPPER(Table1[[#This Row],[Department]])</f>
        <v>SALES</v>
      </c>
      <c r="M10" s="11" t="str">
        <f t="shared" si="0"/>
        <v>sales</v>
      </c>
      <c r="N10" s="12" t="str">
        <f t="shared" si="1"/>
        <v>Sales</v>
      </c>
    </row>
    <row r="11" ht="16.5" customHeight="1" spans="1:14">
      <c r="A11" s="5" t="s">
        <v>80</v>
      </c>
      <c r="B11" s="6" t="s">
        <v>81</v>
      </c>
      <c r="C11" s="6" t="s">
        <v>82</v>
      </c>
      <c r="D11" s="7" t="s">
        <v>83</v>
      </c>
      <c r="E11" s="7" t="s">
        <v>79</v>
      </c>
      <c r="F11" s="7" t="s">
        <v>55</v>
      </c>
      <c r="G11" s="8">
        <v>403684</v>
      </c>
      <c r="H11" s="7">
        <v>3</v>
      </c>
      <c r="I11" s="9" t="s">
        <v>56</v>
      </c>
      <c r="J11" s="13" t="str">
        <f>LOWER(Table1[[#This Row],[First Name]]&amp;"."&amp;Table1[[#This Row],[Last name]]&amp;"@dame.com")</f>
        <v>ade.tope@dame.com</v>
      </c>
      <c r="K11" s="11">
        <f>LEN(Table1[[#This Row],[Last name]])+LEN(Table1[[#This Row],[First Name]])</f>
        <v>7</v>
      </c>
      <c r="L11" s="11" t="str">
        <f>UPPER(Table1[[#This Row],[Department]])</f>
        <v>HR</v>
      </c>
      <c r="M11" s="11" t="str">
        <f t="shared" si="0"/>
        <v>hr</v>
      </c>
      <c r="N11" s="12" t="str">
        <f t="shared" si="1"/>
        <v>Hr</v>
      </c>
    </row>
    <row r="12" ht="16.5" customHeight="1" spans="1:14">
      <c r="A12" s="5" t="s">
        <v>84</v>
      </c>
      <c r="B12" s="6" t="s">
        <v>74</v>
      </c>
      <c r="C12" s="6" t="s">
        <v>75</v>
      </c>
      <c r="D12" s="7" t="s">
        <v>53</v>
      </c>
      <c r="E12" s="7" t="s">
        <v>85</v>
      </c>
      <c r="F12" s="7" t="s">
        <v>50</v>
      </c>
      <c r="G12" s="8">
        <v>317995</v>
      </c>
      <c r="H12" s="7">
        <v>9</v>
      </c>
      <c r="I12" s="9" t="s">
        <v>68</v>
      </c>
      <c r="J12" s="13" t="str">
        <f>LOWER(Table1[[#This Row],[First Name]]&amp;"."&amp;Table1[[#This Row],[Last name]]&amp;"@dame.com")</f>
        <v>obi.james@dame.com</v>
      </c>
      <c r="K12" s="11">
        <f>LEN(Table1[[#This Row],[Last name]])+LEN(Table1[[#This Row],[First Name]])</f>
        <v>8</v>
      </c>
      <c r="L12" s="11" t="str">
        <f>UPPER(Table1[[#This Row],[Department]])</f>
        <v>MARKETING</v>
      </c>
      <c r="M12" s="11" t="str">
        <f t="shared" si="0"/>
        <v>marketing</v>
      </c>
      <c r="N12" s="12" t="str">
        <f t="shared" si="1"/>
        <v>Marketing</v>
      </c>
    </row>
    <row r="13" ht="16.5" customHeight="1" spans="1:14">
      <c r="A13" s="5" t="s">
        <v>86</v>
      </c>
      <c r="B13" s="6" t="s">
        <v>87</v>
      </c>
      <c r="C13" s="6" t="s">
        <v>88</v>
      </c>
      <c r="D13" s="7" t="s">
        <v>83</v>
      </c>
      <c r="E13" s="7" t="s">
        <v>89</v>
      </c>
      <c r="F13" s="7" t="s">
        <v>50</v>
      </c>
      <c r="G13" s="8">
        <v>242669</v>
      </c>
      <c r="H13" s="7">
        <v>6</v>
      </c>
      <c r="I13" s="9" t="s">
        <v>68</v>
      </c>
      <c r="J13" s="13" t="str">
        <f>LOWER(Table1[[#This Row],[First Name]]&amp;"."&amp;Table1[[#This Row],[Last name]]&amp;"@dame.com")</f>
        <v>umeh.chika@dame.com</v>
      </c>
      <c r="K13" s="11">
        <f>LEN(Table1[[#This Row],[Last name]])+LEN(Table1[[#This Row],[First Name]])</f>
        <v>9</v>
      </c>
      <c r="L13" s="11" t="str">
        <f>UPPER(Table1[[#This Row],[Department]])</f>
        <v>HR</v>
      </c>
      <c r="M13" s="11" t="str">
        <f t="shared" si="0"/>
        <v>hr</v>
      </c>
      <c r="N13" s="12" t="str">
        <f t="shared" si="1"/>
        <v>Hr</v>
      </c>
    </row>
    <row r="14" ht="16.5" customHeight="1" spans="1:14">
      <c r="A14" s="5" t="s">
        <v>90</v>
      </c>
      <c r="B14" s="6" t="s">
        <v>87</v>
      </c>
      <c r="C14" s="6" t="s">
        <v>88</v>
      </c>
      <c r="D14" s="7" t="s">
        <v>83</v>
      </c>
      <c r="E14" s="7" t="s">
        <v>63</v>
      </c>
      <c r="F14" s="7" t="s">
        <v>55</v>
      </c>
      <c r="G14" s="8">
        <v>364238</v>
      </c>
      <c r="H14" s="7">
        <v>7</v>
      </c>
      <c r="I14" s="9" t="s">
        <v>64</v>
      </c>
      <c r="J14" s="13" t="str">
        <f>LOWER(Table1[[#This Row],[First Name]]&amp;"."&amp;Table1[[#This Row],[Last name]]&amp;"@dame.com")</f>
        <v>umeh.chika@dame.com</v>
      </c>
      <c r="K14" s="11">
        <f>LEN(Table1[[#This Row],[Last name]])+LEN(Table1[[#This Row],[First Name]])</f>
        <v>9</v>
      </c>
      <c r="L14" s="11" t="str">
        <f>UPPER(Table1[[#This Row],[Department]])</f>
        <v>HR</v>
      </c>
      <c r="M14" s="11" t="str">
        <f t="shared" si="0"/>
        <v>hr</v>
      </c>
      <c r="N14" s="12" t="str">
        <f t="shared" si="1"/>
        <v>Hr</v>
      </c>
    </row>
    <row r="15" ht="16.5" customHeight="1" spans="1:14">
      <c r="A15" s="5" t="s">
        <v>91</v>
      </c>
      <c r="B15" s="6" t="s">
        <v>46</v>
      </c>
      <c r="C15" s="6" t="s">
        <v>47</v>
      </c>
      <c r="D15" s="7" t="s">
        <v>62</v>
      </c>
      <c r="E15" s="7" t="s">
        <v>92</v>
      </c>
      <c r="F15" s="7" t="s">
        <v>50</v>
      </c>
      <c r="G15" s="8">
        <v>215724</v>
      </c>
      <c r="H15" s="7">
        <v>9</v>
      </c>
      <c r="I15" s="9" t="s">
        <v>77</v>
      </c>
      <c r="J15" s="13" t="str">
        <f>LOWER(Table1[[#This Row],[First Name]]&amp;"."&amp;Table1[[#This Row],[Last name]]&amp;"@dame.com")</f>
        <v>bassey.sade@dame.com</v>
      </c>
      <c r="K15" s="11">
        <f>LEN(Table1[[#This Row],[Last name]])+LEN(Table1[[#This Row],[First Name]])</f>
        <v>10</v>
      </c>
      <c r="L15" s="11" t="str">
        <f>UPPER(Table1[[#This Row],[Department]])</f>
        <v>FINANCE</v>
      </c>
      <c r="M15" s="11" t="str">
        <f t="shared" si="0"/>
        <v>finance</v>
      </c>
      <c r="N15" s="12" t="str">
        <f t="shared" si="1"/>
        <v>Finance</v>
      </c>
    </row>
    <row r="16" ht="16.5" customHeight="1" spans="1:14">
      <c r="A16" s="5" t="s">
        <v>93</v>
      </c>
      <c r="B16" s="6" t="s">
        <v>87</v>
      </c>
      <c r="C16" s="6" t="s">
        <v>88</v>
      </c>
      <c r="D16" s="7" t="s">
        <v>53</v>
      </c>
      <c r="E16" s="7" t="s">
        <v>89</v>
      </c>
      <c r="F16" s="7" t="s">
        <v>55</v>
      </c>
      <c r="G16" s="8">
        <v>301679</v>
      </c>
      <c r="H16" s="7">
        <v>10</v>
      </c>
      <c r="I16" s="9" t="s">
        <v>56</v>
      </c>
      <c r="J16" s="13" t="str">
        <f>LOWER(Table1[[#This Row],[First Name]]&amp;"."&amp;Table1[[#This Row],[Last name]]&amp;"@dame.com")</f>
        <v>umeh.chika@dame.com</v>
      </c>
      <c r="K16" s="11">
        <f>LEN(Table1[[#This Row],[Last name]])+LEN(Table1[[#This Row],[First Name]])</f>
        <v>9</v>
      </c>
      <c r="L16" s="11" t="str">
        <f>UPPER(Table1[[#This Row],[Department]])</f>
        <v>MARKETING</v>
      </c>
      <c r="M16" s="11" t="str">
        <f t="shared" si="0"/>
        <v>marketing</v>
      </c>
      <c r="N16" s="12" t="str">
        <f t="shared" si="1"/>
        <v>Marketing</v>
      </c>
    </row>
    <row r="17" ht="16.5" customHeight="1" spans="1:14">
      <c r="A17" s="5" t="s">
        <v>94</v>
      </c>
      <c r="B17" s="6" t="s">
        <v>66</v>
      </c>
      <c r="C17" s="6" t="s">
        <v>67</v>
      </c>
      <c r="D17" s="7" t="s">
        <v>48</v>
      </c>
      <c r="E17" s="7" t="s">
        <v>92</v>
      </c>
      <c r="F17" s="7" t="s">
        <v>55</v>
      </c>
      <c r="G17" s="8">
        <v>243689</v>
      </c>
      <c r="H17" s="7">
        <v>3</v>
      </c>
      <c r="I17" s="9" t="s">
        <v>68</v>
      </c>
      <c r="J17" s="13" t="str">
        <f>LOWER(Table1[[#This Row],[First Name]]&amp;"."&amp;Table1[[#This Row],[Last name]]&amp;"@dame.com")</f>
        <v>musa.ibrahim@dame.com</v>
      </c>
      <c r="K17" s="11">
        <f>LEN(Table1[[#This Row],[Last name]])+LEN(Table1[[#This Row],[First Name]])</f>
        <v>11</v>
      </c>
      <c r="L17" s="11" t="str">
        <f>UPPER(Table1[[#This Row],[Department]])</f>
        <v>IT</v>
      </c>
      <c r="M17" s="11" t="str">
        <f t="shared" si="0"/>
        <v>it</v>
      </c>
      <c r="N17" s="12" t="str">
        <f t="shared" si="1"/>
        <v>It</v>
      </c>
    </row>
    <row r="18" ht="16.5" customHeight="1" spans="1:14">
      <c r="A18" s="5" t="s">
        <v>95</v>
      </c>
      <c r="B18" s="6" t="s">
        <v>70</v>
      </c>
      <c r="C18" s="6" t="s">
        <v>71</v>
      </c>
      <c r="D18" s="7" t="s">
        <v>48</v>
      </c>
      <c r="E18" s="7" t="s">
        <v>49</v>
      </c>
      <c r="F18" s="7" t="s">
        <v>50</v>
      </c>
      <c r="G18" s="8">
        <v>465805</v>
      </c>
      <c r="H18" s="7">
        <v>10</v>
      </c>
      <c r="I18" s="9" t="s">
        <v>56</v>
      </c>
      <c r="J18" s="13" t="str">
        <f>LOWER(Table1[[#This Row],[First Name]]&amp;"."&amp;Table1[[#This Row],[Last name]]&amp;"@dame.com")</f>
        <v>salisu.tunde@dame.com</v>
      </c>
      <c r="K18" s="11">
        <f>LEN(Table1[[#This Row],[Last name]])+LEN(Table1[[#This Row],[First Name]])</f>
        <v>11</v>
      </c>
      <c r="L18" s="11" t="str">
        <f>UPPER(Table1[[#This Row],[Department]])</f>
        <v>IT</v>
      </c>
      <c r="M18" s="11" t="str">
        <f t="shared" si="0"/>
        <v>it</v>
      </c>
      <c r="N18" s="12" t="str">
        <f t="shared" si="1"/>
        <v>It</v>
      </c>
    </row>
    <row r="19" ht="16.5" customHeight="1" spans="1:14">
      <c r="A19" s="5" t="s">
        <v>96</v>
      </c>
      <c r="B19" s="6" t="s">
        <v>87</v>
      </c>
      <c r="C19" s="6" t="s">
        <v>88</v>
      </c>
      <c r="D19" s="7" t="s">
        <v>53</v>
      </c>
      <c r="E19" s="7" t="s">
        <v>54</v>
      </c>
      <c r="F19" s="7" t="s">
        <v>55</v>
      </c>
      <c r="G19" s="8">
        <v>414186</v>
      </c>
      <c r="H19" s="7">
        <v>7</v>
      </c>
      <c r="I19" s="9" t="s">
        <v>77</v>
      </c>
      <c r="J19" s="13" t="str">
        <f>LOWER(Table1[[#This Row],[First Name]]&amp;"."&amp;Table1[[#This Row],[Last name]]&amp;"@dame.com")</f>
        <v>umeh.chika@dame.com</v>
      </c>
      <c r="K19" s="11">
        <f>LEN(Table1[[#This Row],[Last name]])+LEN(Table1[[#This Row],[First Name]])</f>
        <v>9</v>
      </c>
      <c r="L19" s="11" t="str">
        <f>UPPER(Table1[[#This Row],[Department]])</f>
        <v>MARKETING</v>
      </c>
      <c r="M19" s="11" t="str">
        <f t="shared" si="0"/>
        <v>marketing</v>
      </c>
      <c r="N19" s="12" t="str">
        <f t="shared" si="1"/>
        <v>Marketing</v>
      </c>
    </row>
    <row r="20" ht="16.5" customHeight="1" spans="1:14">
      <c r="A20" s="5" t="s">
        <v>97</v>
      </c>
      <c r="B20" s="6" t="s">
        <v>98</v>
      </c>
      <c r="C20" s="6" t="s">
        <v>99</v>
      </c>
      <c r="D20" s="7" t="s">
        <v>83</v>
      </c>
      <c r="E20" s="7" t="s">
        <v>54</v>
      </c>
      <c r="F20" s="7" t="s">
        <v>55</v>
      </c>
      <c r="G20" s="8">
        <v>282557</v>
      </c>
      <c r="H20" s="7">
        <v>9</v>
      </c>
      <c r="I20" s="9" t="s">
        <v>64</v>
      </c>
      <c r="J20" s="13" t="str">
        <f>LOWER(Table1[[#This Row],[First Name]]&amp;"."&amp;Table1[[#This Row],[Last name]]&amp;"@dame.com")</f>
        <v>okafor.maria@dame.com</v>
      </c>
      <c r="K20" s="11">
        <f>LEN(Table1[[#This Row],[Last name]])+LEN(Table1[[#This Row],[First Name]])</f>
        <v>11</v>
      </c>
      <c r="L20" s="11" t="str">
        <f>UPPER(Table1[[#This Row],[Department]])</f>
        <v>HR</v>
      </c>
      <c r="M20" s="11" t="str">
        <f t="shared" si="0"/>
        <v>hr</v>
      </c>
      <c r="N20" s="12" t="str">
        <f t="shared" si="1"/>
        <v>Hr</v>
      </c>
    </row>
    <row r="21" ht="16.5" customHeight="1" spans="1:14">
      <c r="A21" s="5" t="s">
        <v>100</v>
      </c>
      <c r="B21" s="6" t="s">
        <v>74</v>
      </c>
      <c r="C21" s="6" t="s">
        <v>75</v>
      </c>
      <c r="D21" s="7" t="s">
        <v>83</v>
      </c>
      <c r="E21" s="7" t="s">
        <v>101</v>
      </c>
      <c r="F21" s="7" t="s">
        <v>50</v>
      </c>
      <c r="G21" s="8">
        <v>330692</v>
      </c>
      <c r="H21" s="7">
        <v>10</v>
      </c>
      <c r="I21" s="9" t="s">
        <v>68</v>
      </c>
      <c r="J21" s="13" t="str">
        <f>LOWER(Table1[[#This Row],[First Name]]&amp;"."&amp;Table1[[#This Row],[Last name]]&amp;"@dame.com")</f>
        <v>obi.james@dame.com</v>
      </c>
      <c r="K21" s="11">
        <f>LEN(Table1[[#This Row],[Last name]])+LEN(Table1[[#This Row],[First Name]])</f>
        <v>8</v>
      </c>
      <c r="L21" s="11" t="str">
        <f>UPPER(Table1[[#This Row],[Department]])</f>
        <v>HR</v>
      </c>
      <c r="M21" s="11" t="str">
        <f t="shared" si="0"/>
        <v>hr</v>
      </c>
      <c r="N21" s="12" t="str">
        <f t="shared" si="1"/>
        <v>Hr</v>
      </c>
    </row>
    <row r="22" ht="16.5" customHeight="1" spans="1:14">
      <c r="A22" s="5" t="s">
        <v>102</v>
      </c>
      <c r="B22" s="6" t="s">
        <v>87</v>
      </c>
      <c r="C22" s="6" t="s">
        <v>88</v>
      </c>
      <c r="D22" s="7" t="s">
        <v>62</v>
      </c>
      <c r="E22" s="7" t="s">
        <v>63</v>
      </c>
      <c r="F22" s="7" t="s">
        <v>50</v>
      </c>
      <c r="G22" s="8">
        <v>334719</v>
      </c>
      <c r="H22" s="7">
        <v>4</v>
      </c>
      <c r="I22" s="9" t="s">
        <v>51</v>
      </c>
      <c r="J22" s="13" t="str">
        <f>LOWER(Table1[[#This Row],[First Name]]&amp;"."&amp;Table1[[#This Row],[Last name]]&amp;"@dame.com")</f>
        <v>umeh.chika@dame.com</v>
      </c>
      <c r="K22" s="11">
        <f>LEN(Table1[[#This Row],[Last name]])+LEN(Table1[[#This Row],[First Name]])</f>
        <v>9</v>
      </c>
      <c r="L22" s="11" t="str">
        <f>UPPER(Table1[[#This Row],[Department]])</f>
        <v>FINANCE</v>
      </c>
      <c r="M22" s="11" t="str">
        <f t="shared" si="0"/>
        <v>finance</v>
      </c>
      <c r="N22" s="12" t="str">
        <f t="shared" si="1"/>
        <v>Finance</v>
      </c>
    </row>
    <row r="23" ht="16.5" customHeight="1" spans="1:14">
      <c r="A23" s="5" t="s">
        <v>103</v>
      </c>
      <c r="B23" s="6" t="s">
        <v>46</v>
      </c>
      <c r="C23" s="6" t="s">
        <v>47</v>
      </c>
      <c r="D23" s="7" t="s">
        <v>60</v>
      </c>
      <c r="E23" s="7" t="s">
        <v>104</v>
      </c>
      <c r="F23" s="7" t="s">
        <v>55</v>
      </c>
      <c r="G23" s="8">
        <v>237212</v>
      </c>
      <c r="H23" s="7">
        <v>5</v>
      </c>
      <c r="I23" s="9" t="s">
        <v>68</v>
      </c>
      <c r="J23" s="13" t="str">
        <f>LOWER(Table1[[#This Row],[First Name]]&amp;"."&amp;Table1[[#This Row],[Last name]]&amp;"@dame.com")</f>
        <v>bassey.sade@dame.com</v>
      </c>
      <c r="K23" s="11">
        <f>LEN(Table1[[#This Row],[Last name]])+LEN(Table1[[#This Row],[First Name]])</f>
        <v>10</v>
      </c>
      <c r="L23" s="11" t="str">
        <f>UPPER(Table1[[#This Row],[Department]])</f>
        <v>SALES</v>
      </c>
      <c r="M23" s="11" t="str">
        <f t="shared" si="0"/>
        <v>sales</v>
      </c>
      <c r="N23" s="12" t="str">
        <f t="shared" si="1"/>
        <v>Sales</v>
      </c>
    </row>
    <row r="24" ht="16.5" customHeight="1" spans="1:14">
      <c r="A24" s="5" t="s">
        <v>105</v>
      </c>
      <c r="B24" s="6" t="s">
        <v>58</v>
      </c>
      <c r="C24" s="6" t="s">
        <v>59</v>
      </c>
      <c r="D24" s="7" t="s">
        <v>62</v>
      </c>
      <c r="E24" s="7" t="s">
        <v>72</v>
      </c>
      <c r="F24" s="7" t="s">
        <v>55</v>
      </c>
      <c r="G24" s="8">
        <v>382250</v>
      </c>
      <c r="H24" s="7">
        <v>1</v>
      </c>
      <c r="I24" s="9" t="s">
        <v>68</v>
      </c>
      <c r="J24" s="13" t="str">
        <f>LOWER(Table1[[#This Row],[First Name]]&amp;"."&amp;Table1[[#This Row],[Last name]]&amp;"@dame.com")</f>
        <v>udo.faith@dame.com</v>
      </c>
      <c r="K24" s="11">
        <f>LEN(Table1[[#This Row],[Last name]])+LEN(Table1[[#This Row],[First Name]])</f>
        <v>8</v>
      </c>
      <c r="L24" s="11" t="str">
        <f>UPPER(Table1[[#This Row],[Department]])</f>
        <v>FINANCE</v>
      </c>
      <c r="M24" s="11" t="str">
        <f t="shared" si="0"/>
        <v>finance</v>
      </c>
      <c r="N24" s="12" t="str">
        <f t="shared" si="1"/>
        <v>Finance</v>
      </c>
    </row>
    <row r="25" ht="16.5" customHeight="1" spans="1:14">
      <c r="A25" s="5" t="s">
        <v>106</v>
      </c>
      <c r="B25" s="6" t="s">
        <v>81</v>
      </c>
      <c r="C25" s="6" t="s">
        <v>82</v>
      </c>
      <c r="D25" s="7" t="s">
        <v>48</v>
      </c>
      <c r="E25" s="7" t="s">
        <v>89</v>
      </c>
      <c r="F25" s="7" t="s">
        <v>55</v>
      </c>
      <c r="G25" s="8">
        <v>422408</v>
      </c>
      <c r="H25" s="7">
        <v>9</v>
      </c>
      <c r="I25" s="9" t="s">
        <v>68</v>
      </c>
      <c r="J25" s="13" t="str">
        <f>LOWER(Table1[[#This Row],[First Name]]&amp;"."&amp;Table1[[#This Row],[Last name]]&amp;"@dame.com")</f>
        <v>ade.tope@dame.com</v>
      </c>
      <c r="K25" s="11">
        <f>LEN(Table1[[#This Row],[Last name]])+LEN(Table1[[#This Row],[First Name]])</f>
        <v>7</v>
      </c>
      <c r="L25" s="11" t="str">
        <f>UPPER(Table1[[#This Row],[Department]])</f>
        <v>IT</v>
      </c>
      <c r="M25" s="11" t="str">
        <f t="shared" si="0"/>
        <v>it</v>
      </c>
      <c r="N25" s="12" t="str">
        <f t="shared" si="1"/>
        <v>It</v>
      </c>
    </row>
    <row r="26" ht="16.5" customHeight="1" spans="1:14">
      <c r="A26" s="5" t="s">
        <v>107</v>
      </c>
      <c r="B26" s="6" t="s">
        <v>108</v>
      </c>
      <c r="C26" s="6" t="s">
        <v>109</v>
      </c>
      <c r="D26" s="7" t="s">
        <v>83</v>
      </c>
      <c r="E26" s="7" t="s">
        <v>92</v>
      </c>
      <c r="F26" s="7" t="s">
        <v>50</v>
      </c>
      <c r="G26" s="8">
        <v>291740</v>
      </c>
      <c r="H26" s="7">
        <v>1</v>
      </c>
      <c r="I26" s="9" t="s">
        <v>68</v>
      </c>
      <c r="J26" s="13" t="str">
        <f>LOWER(Table1[[#This Row],[First Name]]&amp;"."&amp;Table1[[#This Row],[Last name]]&amp;"@dame.com")</f>
        <v>bello.ngozi@dame.com</v>
      </c>
      <c r="K26" s="11">
        <f>LEN(Table1[[#This Row],[Last name]])+LEN(Table1[[#This Row],[First Name]])</f>
        <v>10</v>
      </c>
      <c r="L26" s="11" t="str">
        <f>UPPER(Table1[[#This Row],[Department]])</f>
        <v>HR</v>
      </c>
      <c r="M26" s="11" t="str">
        <f t="shared" si="0"/>
        <v>hr</v>
      </c>
      <c r="N26" s="12" t="str">
        <f t="shared" si="1"/>
        <v>Hr</v>
      </c>
    </row>
    <row r="27" ht="16.5" customHeight="1" spans="1:14">
      <c r="A27" s="5" t="s">
        <v>110</v>
      </c>
      <c r="B27" s="6" t="s">
        <v>58</v>
      </c>
      <c r="C27" s="6" t="s">
        <v>59</v>
      </c>
      <c r="D27" s="7" t="s">
        <v>83</v>
      </c>
      <c r="E27" s="7" t="s">
        <v>104</v>
      </c>
      <c r="F27" s="7" t="s">
        <v>55</v>
      </c>
      <c r="G27" s="8">
        <v>417509</v>
      </c>
      <c r="H27" s="7">
        <v>7</v>
      </c>
      <c r="I27" s="9" t="s">
        <v>77</v>
      </c>
      <c r="J27" s="13" t="str">
        <f>LOWER(Table1[[#This Row],[First Name]]&amp;"."&amp;Table1[[#This Row],[Last name]]&amp;"@dame.com")</f>
        <v>udo.faith@dame.com</v>
      </c>
      <c r="K27" s="11">
        <f>LEN(Table1[[#This Row],[Last name]])+LEN(Table1[[#This Row],[First Name]])</f>
        <v>8</v>
      </c>
      <c r="L27" s="11" t="str">
        <f>UPPER(Table1[[#This Row],[Department]])</f>
        <v>HR</v>
      </c>
      <c r="M27" s="11" t="str">
        <f t="shared" si="0"/>
        <v>hr</v>
      </c>
      <c r="N27" s="12" t="str">
        <f t="shared" si="1"/>
        <v>Hr</v>
      </c>
    </row>
    <row r="28" ht="16.5" customHeight="1" spans="1:14">
      <c r="A28" s="5" t="s">
        <v>111</v>
      </c>
      <c r="B28" s="6" t="s">
        <v>58</v>
      </c>
      <c r="C28" s="6" t="s">
        <v>59</v>
      </c>
      <c r="D28" s="7" t="s">
        <v>60</v>
      </c>
      <c r="E28" s="7" t="s">
        <v>54</v>
      </c>
      <c r="F28" s="7" t="s">
        <v>50</v>
      </c>
      <c r="G28" s="8">
        <v>450750</v>
      </c>
      <c r="H28" s="7">
        <v>4</v>
      </c>
      <c r="I28" s="9" t="s">
        <v>51</v>
      </c>
      <c r="J28" s="13" t="str">
        <f>LOWER(Table1[[#This Row],[First Name]]&amp;"."&amp;Table1[[#This Row],[Last name]]&amp;"@dame.com")</f>
        <v>udo.faith@dame.com</v>
      </c>
      <c r="K28" s="11">
        <f>LEN(Table1[[#This Row],[Last name]])+LEN(Table1[[#This Row],[First Name]])</f>
        <v>8</v>
      </c>
      <c r="L28" s="11" t="str">
        <f>UPPER(Table1[[#This Row],[Department]])</f>
        <v>SALES</v>
      </c>
      <c r="M28" s="11" t="str">
        <f t="shared" si="0"/>
        <v>sales</v>
      </c>
      <c r="N28" s="12" t="str">
        <f t="shared" si="1"/>
        <v>Sales</v>
      </c>
    </row>
    <row r="29" ht="16.5" customHeight="1" spans="1:14">
      <c r="A29" s="5" t="s">
        <v>112</v>
      </c>
      <c r="B29" s="6" t="s">
        <v>81</v>
      </c>
      <c r="C29" s="6" t="s">
        <v>82</v>
      </c>
      <c r="D29" s="7" t="s">
        <v>83</v>
      </c>
      <c r="E29" s="7" t="s">
        <v>104</v>
      </c>
      <c r="F29" s="7" t="s">
        <v>50</v>
      </c>
      <c r="G29" s="8">
        <v>281642</v>
      </c>
      <c r="H29" s="7">
        <v>5</v>
      </c>
      <c r="I29" s="9" t="s">
        <v>64</v>
      </c>
      <c r="J29" s="13" t="str">
        <f>LOWER(Table1[[#This Row],[First Name]]&amp;"."&amp;Table1[[#This Row],[Last name]]&amp;"@dame.com")</f>
        <v>ade.tope@dame.com</v>
      </c>
      <c r="K29" s="11">
        <f>LEN(Table1[[#This Row],[Last name]])+LEN(Table1[[#This Row],[First Name]])</f>
        <v>7</v>
      </c>
      <c r="L29" s="11" t="str">
        <f>UPPER(Table1[[#This Row],[Department]])</f>
        <v>HR</v>
      </c>
      <c r="M29" s="11" t="str">
        <f t="shared" si="0"/>
        <v>hr</v>
      </c>
      <c r="N29" s="12" t="str">
        <f t="shared" si="1"/>
        <v>Hr</v>
      </c>
    </row>
    <row r="30" ht="16.5" customHeight="1" spans="1:14">
      <c r="A30" s="5" t="s">
        <v>113</v>
      </c>
      <c r="B30" s="6" t="s">
        <v>74</v>
      </c>
      <c r="C30" s="6" t="s">
        <v>75</v>
      </c>
      <c r="D30" s="7" t="s">
        <v>60</v>
      </c>
      <c r="E30" s="7" t="s">
        <v>72</v>
      </c>
      <c r="F30" s="7" t="s">
        <v>55</v>
      </c>
      <c r="G30" s="8">
        <v>291645</v>
      </c>
      <c r="H30" s="7">
        <v>10</v>
      </c>
      <c r="I30" s="9" t="s">
        <v>51</v>
      </c>
      <c r="J30" s="13" t="str">
        <f>LOWER(Table1[[#This Row],[First Name]]&amp;"."&amp;Table1[[#This Row],[Last name]]&amp;"@dame.com")</f>
        <v>obi.james@dame.com</v>
      </c>
      <c r="K30" s="11">
        <f>LEN(Table1[[#This Row],[Last name]])+LEN(Table1[[#This Row],[First Name]])</f>
        <v>8</v>
      </c>
      <c r="L30" s="11" t="str">
        <f>UPPER(Table1[[#This Row],[Department]])</f>
        <v>SALES</v>
      </c>
      <c r="M30" s="11" t="str">
        <f t="shared" si="0"/>
        <v>sales</v>
      </c>
      <c r="N30" s="12" t="str">
        <f t="shared" si="1"/>
        <v>Sales</v>
      </c>
    </row>
    <row r="31" ht="16.5" customHeight="1" spans="1:14">
      <c r="A31" s="5" t="s">
        <v>114</v>
      </c>
      <c r="B31" s="6" t="s">
        <v>66</v>
      </c>
      <c r="C31" s="6" t="s">
        <v>67</v>
      </c>
      <c r="D31" s="7" t="s">
        <v>48</v>
      </c>
      <c r="E31" s="7" t="s">
        <v>72</v>
      </c>
      <c r="F31" s="7" t="s">
        <v>55</v>
      </c>
      <c r="G31" s="8">
        <v>309288</v>
      </c>
      <c r="H31" s="7">
        <v>7</v>
      </c>
      <c r="I31" s="9" t="s">
        <v>68</v>
      </c>
      <c r="J31" s="13" t="str">
        <f>LOWER(Table1[[#This Row],[First Name]]&amp;"."&amp;Table1[[#This Row],[Last name]]&amp;"@dame.com")</f>
        <v>musa.ibrahim@dame.com</v>
      </c>
      <c r="K31" s="11">
        <f>LEN(Table1[[#This Row],[Last name]])+LEN(Table1[[#This Row],[First Name]])</f>
        <v>11</v>
      </c>
      <c r="L31" s="11" t="str">
        <f>UPPER(Table1[[#This Row],[Department]])</f>
        <v>IT</v>
      </c>
      <c r="M31" s="11" t="str">
        <f t="shared" si="0"/>
        <v>it</v>
      </c>
      <c r="N31" s="12" t="str">
        <f t="shared" si="1"/>
        <v>It</v>
      </c>
    </row>
    <row r="32" ht="16.5" customHeight="1" spans="1:14">
      <c r="A32" s="5" t="s">
        <v>115</v>
      </c>
      <c r="B32" s="6" t="s">
        <v>66</v>
      </c>
      <c r="C32" s="6" t="s">
        <v>67</v>
      </c>
      <c r="D32" s="7" t="s">
        <v>83</v>
      </c>
      <c r="E32" s="7" t="s">
        <v>54</v>
      </c>
      <c r="F32" s="7" t="s">
        <v>50</v>
      </c>
      <c r="G32" s="8">
        <v>271687</v>
      </c>
      <c r="H32" s="7">
        <v>10</v>
      </c>
      <c r="I32" s="9" t="s">
        <v>68</v>
      </c>
      <c r="J32" s="13" t="str">
        <f>LOWER(Table1[[#This Row],[First Name]]&amp;"."&amp;Table1[[#This Row],[Last name]]&amp;"@dame.com")</f>
        <v>musa.ibrahim@dame.com</v>
      </c>
      <c r="K32" s="11">
        <f>LEN(Table1[[#This Row],[Last name]])+LEN(Table1[[#This Row],[First Name]])</f>
        <v>11</v>
      </c>
      <c r="L32" s="11" t="str">
        <f>UPPER(Table1[[#This Row],[Department]])</f>
        <v>HR</v>
      </c>
      <c r="M32" s="11" t="str">
        <f t="shared" si="0"/>
        <v>hr</v>
      </c>
      <c r="N32" s="12" t="str">
        <f t="shared" si="1"/>
        <v>Hr</v>
      </c>
    </row>
    <row r="33" ht="16.5" customHeight="1" spans="1:14">
      <c r="A33" s="5" t="s">
        <v>116</v>
      </c>
      <c r="B33" s="6" t="s">
        <v>58</v>
      </c>
      <c r="C33" s="6" t="s">
        <v>59</v>
      </c>
      <c r="D33" s="7" t="s">
        <v>48</v>
      </c>
      <c r="E33" s="7" t="s">
        <v>72</v>
      </c>
      <c r="F33" s="7" t="s">
        <v>50</v>
      </c>
      <c r="G33" s="8">
        <v>365101</v>
      </c>
      <c r="H33" s="7">
        <v>9</v>
      </c>
      <c r="I33" s="9" t="s">
        <v>64</v>
      </c>
      <c r="J33" s="13" t="str">
        <f>LOWER(Table1[[#This Row],[First Name]]&amp;"."&amp;Table1[[#This Row],[Last name]]&amp;"@dame.com")</f>
        <v>udo.faith@dame.com</v>
      </c>
      <c r="K33" s="11">
        <f>LEN(Table1[[#This Row],[Last name]])+LEN(Table1[[#This Row],[First Name]])</f>
        <v>8</v>
      </c>
      <c r="L33" s="11" t="str">
        <f>UPPER(Table1[[#This Row],[Department]])</f>
        <v>IT</v>
      </c>
      <c r="M33" s="11" t="str">
        <f t="shared" si="0"/>
        <v>it</v>
      </c>
      <c r="N33" s="12" t="str">
        <f t="shared" si="1"/>
        <v>It</v>
      </c>
    </row>
    <row r="34" ht="16.5" customHeight="1" spans="1:14">
      <c r="A34" s="5" t="s">
        <v>117</v>
      </c>
      <c r="B34" s="6" t="s">
        <v>108</v>
      </c>
      <c r="C34" s="6" t="s">
        <v>109</v>
      </c>
      <c r="D34" s="7" t="s">
        <v>48</v>
      </c>
      <c r="E34" s="7" t="s">
        <v>104</v>
      </c>
      <c r="F34" s="7" t="s">
        <v>50</v>
      </c>
      <c r="G34" s="8">
        <v>472149</v>
      </c>
      <c r="H34" s="7">
        <v>7</v>
      </c>
      <c r="I34" s="9" t="s">
        <v>77</v>
      </c>
      <c r="J34" s="13" t="str">
        <f>LOWER(Table1[[#This Row],[First Name]]&amp;"."&amp;Table1[[#This Row],[Last name]]&amp;"@dame.com")</f>
        <v>bello.ngozi@dame.com</v>
      </c>
      <c r="K34" s="11">
        <f>LEN(Table1[[#This Row],[Last name]])+LEN(Table1[[#This Row],[First Name]])</f>
        <v>10</v>
      </c>
      <c r="L34" s="11" t="str">
        <f>UPPER(Table1[[#This Row],[Department]])</f>
        <v>IT</v>
      </c>
      <c r="M34" s="11" t="str">
        <f t="shared" ref="M34:M65" si="2">LOWER(D34)</f>
        <v>it</v>
      </c>
      <c r="N34" s="12" t="str">
        <f t="shared" ref="N34:N65" si="3">PROPER(D34)</f>
        <v>It</v>
      </c>
    </row>
    <row r="35" ht="16.5" customHeight="1" spans="1:14">
      <c r="A35" s="5" t="s">
        <v>118</v>
      </c>
      <c r="B35" s="6" t="s">
        <v>66</v>
      </c>
      <c r="C35" s="6" t="s">
        <v>67</v>
      </c>
      <c r="D35" s="7" t="s">
        <v>60</v>
      </c>
      <c r="E35" s="7" t="s">
        <v>104</v>
      </c>
      <c r="F35" s="7" t="s">
        <v>50</v>
      </c>
      <c r="G35" s="8">
        <v>408551</v>
      </c>
      <c r="H35" s="7">
        <v>7</v>
      </c>
      <c r="I35" s="9" t="s">
        <v>77</v>
      </c>
      <c r="J35" s="13" t="str">
        <f>LOWER(Table1[[#This Row],[First Name]]&amp;"."&amp;Table1[[#This Row],[Last name]]&amp;"@dame.com")</f>
        <v>musa.ibrahim@dame.com</v>
      </c>
      <c r="K35" s="11">
        <f>LEN(Table1[[#This Row],[Last name]])+LEN(Table1[[#This Row],[First Name]])</f>
        <v>11</v>
      </c>
      <c r="L35" s="11" t="str">
        <f>UPPER(Table1[[#This Row],[Department]])</f>
        <v>SALES</v>
      </c>
      <c r="M35" s="11" t="str">
        <f t="shared" si="2"/>
        <v>sales</v>
      </c>
      <c r="N35" s="12" t="str">
        <f t="shared" si="3"/>
        <v>Sales</v>
      </c>
    </row>
    <row r="36" ht="16.5" customHeight="1" spans="1:14">
      <c r="A36" s="5" t="s">
        <v>119</v>
      </c>
      <c r="B36" s="6" t="s">
        <v>108</v>
      </c>
      <c r="C36" s="6" t="s">
        <v>109</v>
      </c>
      <c r="D36" s="7" t="s">
        <v>60</v>
      </c>
      <c r="E36" s="7" t="s">
        <v>104</v>
      </c>
      <c r="F36" s="7" t="s">
        <v>55</v>
      </c>
      <c r="G36" s="8">
        <v>334912</v>
      </c>
      <c r="H36" s="7">
        <v>2</v>
      </c>
      <c r="I36" s="9" t="s">
        <v>77</v>
      </c>
      <c r="J36" s="13" t="str">
        <f>LOWER(Table1[[#This Row],[First Name]]&amp;"."&amp;Table1[[#This Row],[Last name]]&amp;"@dame.com")</f>
        <v>bello.ngozi@dame.com</v>
      </c>
      <c r="K36" s="11">
        <f>LEN(Table1[[#This Row],[Last name]])+LEN(Table1[[#This Row],[First Name]])</f>
        <v>10</v>
      </c>
      <c r="L36" s="11" t="str">
        <f>UPPER(Table1[[#This Row],[Department]])</f>
        <v>SALES</v>
      </c>
      <c r="M36" s="11" t="str">
        <f t="shared" si="2"/>
        <v>sales</v>
      </c>
      <c r="N36" s="12" t="str">
        <f t="shared" si="3"/>
        <v>Sales</v>
      </c>
    </row>
    <row r="37" ht="16.5" customHeight="1" spans="1:14">
      <c r="A37" s="5" t="s">
        <v>120</v>
      </c>
      <c r="B37" s="6" t="s">
        <v>87</v>
      </c>
      <c r="C37" s="6" t="s">
        <v>88</v>
      </c>
      <c r="D37" s="7" t="s">
        <v>62</v>
      </c>
      <c r="E37" s="7" t="s">
        <v>63</v>
      </c>
      <c r="F37" s="7" t="s">
        <v>55</v>
      </c>
      <c r="G37" s="8">
        <v>311844</v>
      </c>
      <c r="H37" s="7">
        <v>8</v>
      </c>
      <c r="I37" s="9" t="s">
        <v>64</v>
      </c>
      <c r="J37" s="13" t="str">
        <f>LOWER(Table1[[#This Row],[First Name]]&amp;"."&amp;Table1[[#This Row],[Last name]]&amp;"@dame.com")</f>
        <v>umeh.chika@dame.com</v>
      </c>
      <c r="K37" s="11">
        <f>LEN(Table1[[#This Row],[Last name]])+LEN(Table1[[#This Row],[First Name]])</f>
        <v>9</v>
      </c>
      <c r="L37" s="11" t="str">
        <f>UPPER(Table1[[#This Row],[Department]])</f>
        <v>FINANCE</v>
      </c>
      <c r="M37" s="11" t="str">
        <f t="shared" si="2"/>
        <v>finance</v>
      </c>
      <c r="N37" s="12" t="str">
        <f t="shared" si="3"/>
        <v>Finance</v>
      </c>
    </row>
    <row r="38" ht="16.5" customHeight="1" spans="1:14">
      <c r="A38" s="5" t="s">
        <v>121</v>
      </c>
      <c r="B38" s="6" t="s">
        <v>81</v>
      </c>
      <c r="C38" s="6" t="s">
        <v>82</v>
      </c>
      <c r="D38" s="7" t="s">
        <v>53</v>
      </c>
      <c r="E38" s="7" t="s">
        <v>49</v>
      </c>
      <c r="F38" s="7" t="s">
        <v>55</v>
      </c>
      <c r="G38" s="8">
        <v>222804</v>
      </c>
      <c r="H38" s="7">
        <v>8</v>
      </c>
      <c r="I38" s="9" t="s">
        <v>64</v>
      </c>
      <c r="J38" s="13" t="str">
        <f>LOWER(Table1[[#This Row],[First Name]]&amp;"."&amp;Table1[[#This Row],[Last name]]&amp;"@dame.com")</f>
        <v>ade.tope@dame.com</v>
      </c>
      <c r="K38" s="11">
        <f>LEN(Table1[[#This Row],[Last name]])+LEN(Table1[[#This Row],[First Name]])</f>
        <v>7</v>
      </c>
      <c r="L38" s="11" t="str">
        <f>UPPER(Table1[[#This Row],[Department]])</f>
        <v>MARKETING</v>
      </c>
      <c r="M38" s="11" t="str">
        <f t="shared" si="2"/>
        <v>marketing</v>
      </c>
      <c r="N38" s="12" t="str">
        <f t="shared" si="3"/>
        <v>Marketing</v>
      </c>
    </row>
    <row r="39" ht="16.5" customHeight="1" spans="1:14">
      <c r="A39" s="5" t="s">
        <v>122</v>
      </c>
      <c r="B39" s="6" t="s">
        <v>46</v>
      </c>
      <c r="C39" s="6" t="s">
        <v>47</v>
      </c>
      <c r="D39" s="7" t="s">
        <v>62</v>
      </c>
      <c r="E39" s="7" t="s">
        <v>92</v>
      </c>
      <c r="F39" s="7" t="s">
        <v>50</v>
      </c>
      <c r="G39" s="8">
        <v>202674</v>
      </c>
      <c r="H39" s="7">
        <v>4</v>
      </c>
      <c r="I39" s="9" t="s">
        <v>51</v>
      </c>
      <c r="J39" s="13" t="str">
        <f>LOWER(Table1[[#This Row],[First Name]]&amp;"."&amp;Table1[[#This Row],[Last name]]&amp;"@dame.com")</f>
        <v>bassey.sade@dame.com</v>
      </c>
      <c r="K39" s="11">
        <f>LEN(Table1[[#This Row],[Last name]])+LEN(Table1[[#This Row],[First Name]])</f>
        <v>10</v>
      </c>
      <c r="L39" s="11" t="str">
        <f>UPPER(Table1[[#This Row],[Department]])</f>
        <v>FINANCE</v>
      </c>
      <c r="M39" s="11" t="str">
        <f t="shared" si="2"/>
        <v>finance</v>
      </c>
      <c r="N39" s="12" t="str">
        <f t="shared" si="3"/>
        <v>Finance</v>
      </c>
    </row>
    <row r="40" ht="16.5" customHeight="1" spans="1:14">
      <c r="A40" s="5" t="s">
        <v>123</v>
      </c>
      <c r="B40" s="6" t="s">
        <v>46</v>
      </c>
      <c r="C40" s="6" t="s">
        <v>47</v>
      </c>
      <c r="D40" s="7" t="s">
        <v>48</v>
      </c>
      <c r="E40" s="7" t="s">
        <v>89</v>
      </c>
      <c r="F40" s="7" t="s">
        <v>50</v>
      </c>
      <c r="G40" s="8">
        <v>481535</v>
      </c>
      <c r="H40" s="7">
        <v>10</v>
      </c>
      <c r="I40" s="9" t="s">
        <v>64</v>
      </c>
      <c r="J40" s="13" t="str">
        <f>LOWER(Table1[[#This Row],[First Name]]&amp;"."&amp;Table1[[#This Row],[Last name]]&amp;"@dame.com")</f>
        <v>bassey.sade@dame.com</v>
      </c>
      <c r="K40" s="11">
        <f>LEN(Table1[[#This Row],[Last name]])+LEN(Table1[[#This Row],[First Name]])</f>
        <v>10</v>
      </c>
      <c r="L40" s="11" t="str">
        <f>UPPER(Table1[[#This Row],[Department]])</f>
        <v>IT</v>
      </c>
      <c r="M40" s="11" t="str">
        <f t="shared" si="2"/>
        <v>it</v>
      </c>
      <c r="N40" s="12" t="str">
        <f t="shared" si="3"/>
        <v>It</v>
      </c>
    </row>
    <row r="41" ht="16.5" customHeight="1" spans="1:14">
      <c r="A41" s="5" t="s">
        <v>124</v>
      </c>
      <c r="B41" s="6" t="s">
        <v>74</v>
      </c>
      <c r="C41" s="6" t="s">
        <v>75</v>
      </c>
      <c r="D41" s="7" t="s">
        <v>62</v>
      </c>
      <c r="E41" s="7" t="s">
        <v>63</v>
      </c>
      <c r="F41" s="7" t="s">
        <v>55</v>
      </c>
      <c r="G41" s="8">
        <v>338509</v>
      </c>
      <c r="H41" s="7">
        <v>1</v>
      </c>
      <c r="I41" s="9" t="s">
        <v>68</v>
      </c>
      <c r="J41" s="13" t="str">
        <f>LOWER(Table1[[#This Row],[First Name]]&amp;"."&amp;Table1[[#This Row],[Last name]]&amp;"@dame.com")</f>
        <v>obi.james@dame.com</v>
      </c>
      <c r="K41" s="11">
        <f>LEN(Table1[[#This Row],[Last name]])+LEN(Table1[[#This Row],[First Name]])</f>
        <v>8</v>
      </c>
      <c r="L41" s="11" t="str">
        <f>UPPER(Table1[[#This Row],[Department]])</f>
        <v>FINANCE</v>
      </c>
      <c r="M41" s="11" t="str">
        <f t="shared" si="2"/>
        <v>finance</v>
      </c>
      <c r="N41" s="12" t="str">
        <f t="shared" si="3"/>
        <v>Finance</v>
      </c>
    </row>
    <row r="42" ht="16.5" customHeight="1" spans="1:14">
      <c r="A42" s="5" t="s">
        <v>125</v>
      </c>
      <c r="B42" s="6" t="s">
        <v>46</v>
      </c>
      <c r="C42" s="6" t="s">
        <v>47</v>
      </c>
      <c r="D42" s="7" t="s">
        <v>60</v>
      </c>
      <c r="E42" s="7" t="s">
        <v>63</v>
      </c>
      <c r="F42" s="7" t="s">
        <v>50</v>
      </c>
      <c r="G42" s="8">
        <v>234031</v>
      </c>
      <c r="H42" s="7">
        <v>10</v>
      </c>
      <c r="I42" s="9" t="s">
        <v>56</v>
      </c>
      <c r="J42" s="13" t="str">
        <f>LOWER(Table1[[#This Row],[First Name]]&amp;"."&amp;Table1[[#This Row],[Last name]]&amp;"@dame.com")</f>
        <v>bassey.sade@dame.com</v>
      </c>
      <c r="K42" s="11">
        <f>LEN(Table1[[#This Row],[Last name]])+LEN(Table1[[#This Row],[First Name]])</f>
        <v>10</v>
      </c>
      <c r="L42" s="11" t="str">
        <f>UPPER(Table1[[#This Row],[Department]])</f>
        <v>SALES</v>
      </c>
      <c r="M42" s="11" t="str">
        <f t="shared" si="2"/>
        <v>sales</v>
      </c>
      <c r="N42" s="12" t="str">
        <f t="shared" si="3"/>
        <v>Sales</v>
      </c>
    </row>
    <row r="43" ht="16.5" customHeight="1" spans="1:14">
      <c r="A43" s="5" t="s">
        <v>126</v>
      </c>
      <c r="B43" s="6" t="s">
        <v>58</v>
      </c>
      <c r="C43" s="6" t="s">
        <v>59</v>
      </c>
      <c r="D43" s="7" t="s">
        <v>60</v>
      </c>
      <c r="E43" s="7" t="s">
        <v>72</v>
      </c>
      <c r="F43" s="7" t="s">
        <v>55</v>
      </c>
      <c r="G43" s="8">
        <v>265908</v>
      </c>
      <c r="H43" s="7">
        <v>7</v>
      </c>
      <c r="I43" s="9" t="s">
        <v>56</v>
      </c>
      <c r="J43" s="13" t="str">
        <f>LOWER(Table1[[#This Row],[First Name]]&amp;"."&amp;Table1[[#This Row],[Last name]]&amp;"@dame.com")</f>
        <v>udo.faith@dame.com</v>
      </c>
      <c r="K43" s="11">
        <f>LEN(Table1[[#This Row],[Last name]])+LEN(Table1[[#This Row],[First Name]])</f>
        <v>8</v>
      </c>
      <c r="L43" s="11" t="str">
        <f>UPPER(Table1[[#This Row],[Department]])</f>
        <v>SALES</v>
      </c>
      <c r="M43" s="11" t="str">
        <f t="shared" si="2"/>
        <v>sales</v>
      </c>
      <c r="N43" s="12" t="str">
        <f t="shared" si="3"/>
        <v>Sales</v>
      </c>
    </row>
    <row r="44" ht="16.5" customHeight="1" spans="1:14">
      <c r="A44" s="5" t="s">
        <v>127</v>
      </c>
      <c r="B44" s="6" t="s">
        <v>87</v>
      </c>
      <c r="C44" s="6" t="s">
        <v>88</v>
      </c>
      <c r="D44" s="7" t="s">
        <v>48</v>
      </c>
      <c r="E44" s="7" t="s">
        <v>49</v>
      </c>
      <c r="F44" s="7" t="s">
        <v>55</v>
      </c>
      <c r="G44" s="8">
        <v>338554</v>
      </c>
      <c r="H44" s="7">
        <v>1</v>
      </c>
      <c r="I44" s="9" t="s">
        <v>56</v>
      </c>
      <c r="J44" s="13" t="str">
        <f>LOWER(Table1[[#This Row],[First Name]]&amp;"."&amp;Table1[[#This Row],[Last name]]&amp;"@dame.com")</f>
        <v>umeh.chika@dame.com</v>
      </c>
      <c r="K44" s="11">
        <f>LEN(Table1[[#This Row],[Last name]])+LEN(Table1[[#This Row],[First Name]])</f>
        <v>9</v>
      </c>
      <c r="L44" s="11" t="str">
        <f>UPPER(Table1[[#This Row],[Department]])</f>
        <v>IT</v>
      </c>
      <c r="M44" s="11" t="str">
        <f t="shared" si="2"/>
        <v>it</v>
      </c>
      <c r="N44" s="12" t="str">
        <f t="shared" si="3"/>
        <v>It</v>
      </c>
    </row>
    <row r="45" ht="16.5" customHeight="1" spans="1:14">
      <c r="A45" s="5" t="s">
        <v>128</v>
      </c>
      <c r="B45" s="6" t="s">
        <v>58</v>
      </c>
      <c r="C45" s="6" t="s">
        <v>59</v>
      </c>
      <c r="D45" s="7" t="s">
        <v>53</v>
      </c>
      <c r="E45" s="7" t="s">
        <v>92</v>
      </c>
      <c r="F45" s="7" t="s">
        <v>55</v>
      </c>
      <c r="G45" s="8">
        <v>413957</v>
      </c>
      <c r="H45" s="7">
        <v>3</v>
      </c>
      <c r="I45" s="9" t="s">
        <v>68</v>
      </c>
      <c r="J45" s="13" t="str">
        <f>LOWER(Table1[[#This Row],[First Name]]&amp;"."&amp;Table1[[#This Row],[Last name]]&amp;"@dame.com")</f>
        <v>udo.faith@dame.com</v>
      </c>
      <c r="K45" s="11">
        <f>LEN(Table1[[#This Row],[Last name]])+LEN(Table1[[#This Row],[First Name]])</f>
        <v>8</v>
      </c>
      <c r="L45" s="11" t="str">
        <f>UPPER(Table1[[#This Row],[Department]])</f>
        <v>MARKETING</v>
      </c>
      <c r="M45" s="11" t="str">
        <f t="shared" si="2"/>
        <v>marketing</v>
      </c>
      <c r="N45" s="12" t="str">
        <f t="shared" si="3"/>
        <v>Marketing</v>
      </c>
    </row>
    <row r="46" ht="16.5" customHeight="1" spans="1:14">
      <c r="A46" s="5" t="s">
        <v>129</v>
      </c>
      <c r="B46" s="6" t="s">
        <v>46</v>
      </c>
      <c r="C46" s="6" t="s">
        <v>47</v>
      </c>
      <c r="D46" s="7" t="s">
        <v>83</v>
      </c>
      <c r="E46" s="7" t="s">
        <v>49</v>
      </c>
      <c r="F46" s="7" t="s">
        <v>50</v>
      </c>
      <c r="G46" s="8">
        <v>485264</v>
      </c>
      <c r="H46" s="7">
        <v>1</v>
      </c>
      <c r="I46" s="9" t="s">
        <v>64</v>
      </c>
      <c r="J46" s="13" t="str">
        <f>LOWER(Table1[[#This Row],[First Name]]&amp;"."&amp;Table1[[#This Row],[Last name]]&amp;"@dame.com")</f>
        <v>bassey.sade@dame.com</v>
      </c>
      <c r="K46" s="11">
        <f>LEN(Table1[[#This Row],[Last name]])+LEN(Table1[[#This Row],[First Name]])</f>
        <v>10</v>
      </c>
      <c r="L46" s="11" t="str">
        <f>UPPER(Table1[[#This Row],[Department]])</f>
        <v>HR</v>
      </c>
      <c r="M46" s="11" t="str">
        <f t="shared" si="2"/>
        <v>hr</v>
      </c>
      <c r="N46" s="12" t="str">
        <f t="shared" si="3"/>
        <v>Hr</v>
      </c>
    </row>
    <row r="47" ht="16.5" customHeight="1" spans="1:14">
      <c r="A47" s="5" t="s">
        <v>130</v>
      </c>
      <c r="B47" s="6" t="s">
        <v>87</v>
      </c>
      <c r="C47" s="6" t="s">
        <v>88</v>
      </c>
      <c r="D47" s="7" t="s">
        <v>60</v>
      </c>
      <c r="E47" s="7" t="s">
        <v>92</v>
      </c>
      <c r="F47" s="7" t="s">
        <v>50</v>
      </c>
      <c r="G47" s="8">
        <v>363350</v>
      </c>
      <c r="H47" s="7">
        <v>1</v>
      </c>
      <c r="I47" s="9" t="s">
        <v>56</v>
      </c>
      <c r="J47" s="13" t="str">
        <f>LOWER(Table1[[#This Row],[First Name]]&amp;"."&amp;Table1[[#This Row],[Last name]]&amp;"@dame.com")</f>
        <v>umeh.chika@dame.com</v>
      </c>
      <c r="K47" s="11">
        <f>LEN(Table1[[#This Row],[Last name]])+LEN(Table1[[#This Row],[First Name]])</f>
        <v>9</v>
      </c>
      <c r="L47" s="11" t="str">
        <f>UPPER(Table1[[#This Row],[Department]])</f>
        <v>SALES</v>
      </c>
      <c r="M47" s="11" t="str">
        <f t="shared" si="2"/>
        <v>sales</v>
      </c>
      <c r="N47" s="12" t="str">
        <f t="shared" si="3"/>
        <v>Sales</v>
      </c>
    </row>
    <row r="48" ht="16.5" customHeight="1" spans="1:14">
      <c r="A48" s="5" t="s">
        <v>131</v>
      </c>
      <c r="B48" s="6" t="s">
        <v>70</v>
      </c>
      <c r="C48" s="6" t="s">
        <v>71</v>
      </c>
      <c r="D48" s="7" t="s">
        <v>83</v>
      </c>
      <c r="E48" s="7" t="s">
        <v>54</v>
      </c>
      <c r="F48" s="7" t="s">
        <v>50</v>
      </c>
      <c r="G48" s="8">
        <v>428005</v>
      </c>
      <c r="H48" s="7">
        <v>4</v>
      </c>
      <c r="I48" s="9" t="s">
        <v>64</v>
      </c>
      <c r="J48" s="13" t="str">
        <f>LOWER(Table1[[#This Row],[First Name]]&amp;"."&amp;Table1[[#This Row],[Last name]]&amp;"@dame.com")</f>
        <v>salisu.tunde@dame.com</v>
      </c>
      <c r="K48" s="11">
        <f>LEN(Table1[[#This Row],[Last name]])+LEN(Table1[[#This Row],[First Name]])</f>
        <v>11</v>
      </c>
      <c r="L48" s="11" t="str">
        <f>UPPER(Table1[[#This Row],[Department]])</f>
        <v>HR</v>
      </c>
      <c r="M48" s="11" t="str">
        <f t="shared" si="2"/>
        <v>hr</v>
      </c>
      <c r="N48" s="12" t="str">
        <f t="shared" si="3"/>
        <v>Hr</v>
      </c>
    </row>
    <row r="49" ht="16.5" customHeight="1" spans="1:14">
      <c r="A49" s="5" t="s">
        <v>132</v>
      </c>
      <c r="B49" s="6" t="s">
        <v>133</v>
      </c>
      <c r="C49" s="6" t="s">
        <v>134</v>
      </c>
      <c r="D49" s="7" t="s">
        <v>83</v>
      </c>
      <c r="E49" s="7" t="s">
        <v>72</v>
      </c>
      <c r="F49" s="7" t="s">
        <v>55</v>
      </c>
      <c r="G49" s="8">
        <v>326652</v>
      </c>
      <c r="H49" s="7">
        <v>6</v>
      </c>
      <c r="I49" s="9" t="s">
        <v>64</v>
      </c>
      <c r="J49" s="13" t="str">
        <f>LOWER(Table1[[#This Row],[First Name]]&amp;"."&amp;Table1[[#This Row],[Last name]]&amp;"@dame.com")</f>
        <v>john.emeka@dame.com</v>
      </c>
      <c r="K49" s="11">
        <f>LEN(Table1[[#This Row],[Last name]])+LEN(Table1[[#This Row],[First Name]])</f>
        <v>9</v>
      </c>
      <c r="L49" s="11" t="str">
        <f>UPPER(Table1[[#This Row],[Department]])</f>
        <v>HR</v>
      </c>
      <c r="M49" s="11" t="str">
        <f t="shared" si="2"/>
        <v>hr</v>
      </c>
      <c r="N49" s="12" t="str">
        <f t="shared" si="3"/>
        <v>Hr</v>
      </c>
    </row>
    <row r="50" ht="16.5" customHeight="1" spans="1:14">
      <c r="A50" s="5" t="s">
        <v>135</v>
      </c>
      <c r="B50" s="6" t="s">
        <v>46</v>
      </c>
      <c r="C50" s="6" t="s">
        <v>47</v>
      </c>
      <c r="D50" s="7" t="s">
        <v>83</v>
      </c>
      <c r="E50" s="7" t="s">
        <v>92</v>
      </c>
      <c r="F50" s="7" t="s">
        <v>55</v>
      </c>
      <c r="G50" s="8">
        <v>421377</v>
      </c>
      <c r="H50" s="7">
        <v>4</v>
      </c>
      <c r="I50" s="9" t="s">
        <v>51</v>
      </c>
      <c r="J50" s="13" t="str">
        <f>LOWER(Table1[[#This Row],[First Name]]&amp;"."&amp;Table1[[#This Row],[Last name]]&amp;"@dame.com")</f>
        <v>bassey.sade@dame.com</v>
      </c>
      <c r="K50" s="11">
        <f>LEN(Table1[[#This Row],[Last name]])+LEN(Table1[[#This Row],[First Name]])</f>
        <v>10</v>
      </c>
      <c r="L50" s="11" t="str">
        <f>UPPER(Table1[[#This Row],[Department]])</f>
        <v>HR</v>
      </c>
      <c r="M50" s="11" t="str">
        <f t="shared" si="2"/>
        <v>hr</v>
      </c>
      <c r="N50" s="12" t="str">
        <f t="shared" si="3"/>
        <v>Hr</v>
      </c>
    </row>
    <row r="51" ht="16.5" customHeight="1" spans="1:14">
      <c r="A51" s="5" t="s">
        <v>136</v>
      </c>
      <c r="B51" s="6" t="s">
        <v>133</v>
      </c>
      <c r="C51" s="6" t="s">
        <v>134</v>
      </c>
      <c r="D51" s="7" t="s">
        <v>62</v>
      </c>
      <c r="E51" s="7" t="s">
        <v>54</v>
      </c>
      <c r="F51" s="7" t="s">
        <v>50</v>
      </c>
      <c r="G51" s="8">
        <v>433017</v>
      </c>
      <c r="H51" s="7">
        <v>3</v>
      </c>
      <c r="I51" s="9" t="s">
        <v>56</v>
      </c>
      <c r="J51" s="13" t="str">
        <f>LOWER(Table1[[#This Row],[First Name]]&amp;"."&amp;Table1[[#This Row],[Last name]]&amp;"@dame.com")</f>
        <v>john.emeka@dame.com</v>
      </c>
      <c r="K51" s="11">
        <f>LEN(Table1[[#This Row],[Last name]])+LEN(Table1[[#This Row],[First Name]])</f>
        <v>9</v>
      </c>
      <c r="L51" s="11" t="str">
        <f>UPPER(Table1[[#This Row],[Department]])</f>
        <v>FINANCE</v>
      </c>
      <c r="M51" s="11" t="str">
        <f t="shared" si="2"/>
        <v>finance</v>
      </c>
      <c r="N51" s="12" t="str">
        <f t="shared" si="3"/>
        <v>Finance</v>
      </c>
    </row>
    <row r="52" ht="16.5" customHeight="1" spans="1:14">
      <c r="A52" s="5" t="s">
        <v>137</v>
      </c>
      <c r="B52" s="6" t="s">
        <v>74</v>
      </c>
      <c r="C52" s="6" t="s">
        <v>75</v>
      </c>
      <c r="D52" s="7" t="s">
        <v>83</v>
      </c>
      <c r="E52" s="7" t="s">
        <v>89</v>
      </c>
      <c r="F52" s="7" t="s">
        <v>50</v>
      </c>
      <c r="G52" s="8">
        <v>353050</v>
      </c>
      <c r="H52" s="7">
        <v>7</v>
      </c>
      <c r="I52" s="9" t="s">
        <v>64</v>
      </c>
      <c r="J52" s="13" t="str">
        <f>LOWER(Table1[[#This Row],[First Name]]&amp;"."&amp;Table1[[#This Row],[Last name]]&amp;"@dame.com")</f>
        <v>obi.james@dame.com</v>
      </c>
      <c r="K52" s="11">
        <f>LEN(Table1[[#This Row],[Last name]])+LEN(Table1[[#This Row],[First Name]])</f>
        <v>8</v>
      </c>
      <c r="L52" s="11" t="str">
        <f>UPPER(Table1[[#This Row],[Department]])</f>
        <v>HR</v>
      </c>
      <c r="M52" s="11" t="str">
        <f t="shared" si="2"/>
        <v>hr</v>
      </c>
      <c r="N52" s="12" t="str">
        <f t="shared" si="3"/>
        <v>Hr</v>
      </c>
    </row>
    <row r="53" ht="16.5" customHeight="1" spans="1:14">
      <c r="A53" s="5" t="s">
        <v>138</v>
      </c>
      <c r="B53" s="6" t="s">
        <v>108</v>
      </c>
      <c r="C53" s="6" t="s">
        <v>109</v>
      </c>
      <c r="D53" s="7" t="s">
        <v>48</v>
      </c>
      <c r="E53" s="7" t="s">
        <v>54</v>
      </c>
      <c r="F53" s="7" t="s">
        <v>50</v>
      </c>
      <c r="G53" s="8">
        <v>450941</v>
      </c>
      <c r="H53" s="7">
        <v>3</v>
      </c>
      <c r="I53" s="9" t="s">
        <v>64</v>
      </c>
      <c r="J53" s="13" t="str">
        <f>LOWER(Table1[[#This Row],[First Name]]&amp;"."&amp;Table1[[#This Row],[Last name]]&amp;"@dame.com")</f>
        <v>bello.ngozi@dame.com</v>
      </c>
      <c r="K53" s="11">
        <f>LEN(Table1[[#This Row],[Last name]])+LEN(Table1[[#This Row],[First Name]])</f>
        <v>10</v>
      </c>
      <c r="L53" s="11" t="str">
        <f>UPPER(Table1[[#This Row],[Department]])</f>
        <v>IT</v>
      </c>
      <c r="M53" s="11" t="str">
        <f t="shared" si="2"/>
        <v>it</v>
      </c>
      <c r="N53" s="12" t="str">
        <f t="shared" si="3"/>
        <v>It</v>
      </c>
    </row>
    <row r="54" ht="16.5" customHeight="1" spans="1:14">
      <c r="A54" s="5" t="s">
        <v>139</v>
      </c>
      <c r="B54" s="6" t="s">
        <v>58</v>
      </c>
      <c r="C54" s="6" t="s">
        <v>59</v>
      </c>
      <c r="D54" s="7" t="s">
        <v>62</v>
      </c>
      <c r="E54" s="7" t="s">
        <v>89</v>
      </c>
      <c r="F54" s="7" t="s">
        <v>50</v>
      </c>
      <c r="G54" s="8">
        <v>337560</v>
      </c>
      <c r="H54" s="7">
        <v>2</v>
      </c>
      <c r="I54" s="9" t="s">
        <v>56</v>
      </c>
      <c r="J54" s="13" t="str">
        <f>LOWER(Table1[[#This Row],[First Name]]&amp;"."&amp;Table1[[#This Row],[Last name]]&amp;"@dame.com")</f>
        <v>udo.faith@dame.com</v>
      </c>
      <c r="K54" s="11">
        <f>LEN(Table1[[#This Row],[Last name]])+LEN(Table1[[#This Row],[First Name]])</f>
        <v>8</v>
      </c>
      <c r="L54" s="11" t="str">
        <f>UPPER(Table1[[#This Row],[Department]])</f>
        <v>FINANCE</v>
      </c>
      <c r="M54" s="11" t="str">
        <f t="shared" si="2"/>
        <v>finance</v>
      </c>
      <c r="N54" s="12" t="str">
        <f t="shared" si="3"/>
        <v>Finance</v>
      </c>
    </row>
    <row r="55" ht="16.5" customHeight="1" spans="1:14">
      <c r="A55" s="5" t="s">
        <v>140</v>
      </c>
      <c r="B55" s="6" t="s">
        <v>46</v>
      </c>
      <c r="C55" s="6" t="s">
        <v>47</v>
      </c>
      <c r="D55" s="7" t="s">
        <v>60</v>
      </c>
      <c r="E55" s="7" t="s">
        <v>104</v>
      </c>
      <c r="F55" s="7" t="s">
        <v>55</v>
      </c>
      <c r="G55" s="8">
        <v>325849</v>
      </c>
      <c r="H55" s="7">
        <v>2</v>
      </c>
      <c r="I55" s="9" t="s">
        <v>68</v>
      </c>
      <c r="J55" s="13" t="str">
        <f>LOWER(Table1[[#This Row],[First Name]]&amp;"."&amp;Table1[[#This Row],[Last name]]&amp;"@dame.com")</f>
        <v>bassey.sade@dame.com</v>
      </c>
      <c r="K55" s="11">
        <f>LEN(Table1[[#This Row],[Last name]])+LEN(Table1[[#This Row],[First Name]])</f>
        <v>10</v>
      </c>
      <c r="L55" s="11" t="str">
        <f>UPPER(Table1[[#This Row],[Department]])</f>
        <v>SALES</v>
      </c>
      <c r="M55" s="11" t="str">
        <f t="shared" si="2"/>
        <v>sales</v>
      </c>
      <c r="N55" s="12" t="str">
        <f t="shared" si="3"/>
        <v>Sales</v>
      </c>
    </row>
    <row r="56" ht="16.5" customHeight="1" spans="1:14">
      <c r="A56" s="5" t="s">
        <v>141</v>
      </c>
      <c r="B56" s="6" t="s">
        <v>133</v>
      </c>
      <c r="C56" s="6" t="s">
        <v>134</v>
      </c>
      <c r="D56" s="7" t="s">
        <v>53</v>
      </c>
      <c r="E56" s="7" t="s">
        <v>104</v>
      </c>
      <c r="F56" s="7" t="s">
        <v>55</v>
      </c>
      <c r="G56" s="8">
        <v>252488</v>
      </c>
      <c r="H56" s="7">
        <v>5</v>
      </c>
      <c r="I56" s="9" t="s">
        <v>64</v>
      </c>
      <c r="J56" s="13" t="str">
        <f>LOWER(Table1[[#This Row],[First Name]]&amp;"."&amp;Table1[[#This Row],[Last name]]&amp;"@dame.com")</f>
        <v>john.emeka@dame.com</v>
      </c>
      <c r="K56" s="11">
        <f>LEN(Table1[[#This Row],[Last name]])+LEN(Table1[[#This Row],[First Name]])</f>
        <v>9</v>
      </c>
      <c r="L56" s="11" t="str">
        <f>UPPER(Table1[[#This Row],[Department]])</f>
        <v>MARKETING</v>
      </c>
      <c r="M56" s="11" t="str">
        <f t="shared" si="2"/>
        <v>marketing</v>
      </c>
      <c r="N56" s="12" t="str">
        <f t="shared" si="3"/>
        <v>Marketing</v>
      </c>
    </row>
    <row r="57" ht="16.5" customHeight="1" spans="1:14">
      <c r="A57" s="5" t="s">
        <v>142</v>
      </c>
      <c r="B57" s="6" t="s">
        <v>133</v>
      </c>
      <c r="C57" s="6" t="s">
        <v>134</v>
      </c>
      <c r="D57" s="7" t="s">
        <v>62</v>
      </c>
      <c r="E57" s="7" t="s">
        <v>85</v>
      </c>
      <c r="F57" s="7" t="s">
        <v>55</v>
      </c>
      <c r="G57" s="8">
        <v>261616</v>
      </c>
      <c r="H57" s="7">
        <v>2</v>
      </c>
      <c r="I57" s="9" t="s">
        <v>56</v>
      </c>
      <c r="J57" s="13" t="str">
        <f>LOWER(Table1[[#This Row],[First Name]]&amp;"."&amp;Table1[[#This Row],[Last name]]&amp;"@dame.com")</f>
        <v>john.emeka@dame.com</v>
      </c>
      <c r="K57" s="11">
        <f>LEN(Table1[[#This Row],[Last name]])+LEN(Table1[[#This Row],[First Name]])</f>
        <v>9</v>
      </c>
      <c r="L57" s="11" t="str">
        <f>UPPER(Table1[[#This Row],[Department]])</f>
        <v>FINANCE</v>
      </c>
      <c r="M57" s="11" t="str">
        <f t="shared" si="2"/>
        <v>finance</v>
      </c>
      <c r="N57" s="12" t="str">
        <f t="shared" si="3"/>
        <v>Finance</v>
      </c>
    </row>
    <row r="58" ht="16.5" customHeight="1" spans="1:14">
      <c r="A58" s="5" t="s">
        <v>143</v>
      </c>
      <c r="B58" s="6" t="s">
        <v>74</v>
      </c>
      <c r="C58" s="6" t="s">
        <v>75</v>
      </c>
      <c r="D58" s="7" t="s">
        <v>53</v>
      </c>
      <c r="E58" s="7" t="s">
        <v>85</v>
      </c>
      <c r="F58" s="7" t="s">
        <v>50</v>
      </c>
      <c r="G58" s="8">
        <v>296968</v>
      </c>
      <c r="H58" s="7">
        <v>4</v>
      </c>
      <c r="I58" s="9" t="s">
        <v>56</v>
      </c>
      <c r="J58" s="13" t="str">
        <f>LOWER(Table1[[#This Row],[First Name]]&amp;"."&amp;Table1[[#This Row],[Last name]]&amp;"@dame.com")</f>
        <v>obi.james@dame.com</v>
      </c>
      <c r="K58" s="11">
        <f>LEN(Table1[[#This Row],[Last name]])+LEN(Table1[[#This Row],[First Name]])</f>
        <v>8</v>
      </c>
      <c r="L58" s="11" t="str">
        <f>UPPER(Table1[[#This Row],[Department]])</f>
        <v>MARKETING</v>
      </c>
      <c r="M58" s="11" t="str">
        <f t="shared" si="2"/>
        <v>marketing</v>
      </c>
      <c r="N58" s="12" t="str">
        <f t="shared" si="3"/>
        <v>Marketing</v>
      </c>
    </row>
    <row r="59" ht="16.5" customHeight="1" spans="1:14">
      <c r="A59" s="5" t="s">
        <v>144</v>
      </c>
      <c r="B59" s="6" t="s">
        <v>133</v>
      </c>
      <c r="C59" s="6" t="s">
        <v>134</v>
      </c>
      <c r="D59" s="7" t="s">
        <v>48</v>
      </c>
      <c r="E59" s="7" t="s">
        <v>85</v>
      </c>
      <c r="F59" s="7" t="s">
        <v>55</v>
      </c>
      <c r="G59" s="8">
        <v>369656</v>
      </c>
      <c r="H59" s="7">
        <v>8</v>
      </c>
      <c r="I59" s="9" t="s">
        <v>64</v>
      </c>
      <c r="J59" s="13" t="str">
        <f>LOWER(Table1[[#This Row],[First Name]]&amp;"."&amp;Table1[[#This Row],[Last name]]&amp;"@dame.com")</f>
        <v>john.emeka@dame.com</v>
      </c>
      <c r="K59" s="11">
        <f>LEN(Table1[[#This Row],[Last name]])+LEN(Table1[[#This Row],[First Name]])</f>
        <v>9</v>
      </c>
      <c r="L59" s="11" t="str">
        <f>UPPER(Table1[[#This Row],[Department]])</f>
        <v>IT</v>
      </c>
      <c r="M59" s="11" t="str">
        <f t="shared" si="2"/>
        <v>it</v>
      </c>
      <c r="N59" s="12" t="str">
        <f t="shared" si="3"/>
        <v>It</v>
      </c>
    </row>
    <row r="60" ht="16.5" customHeight="1" spans="1:14">
      <c r="A60" s="5" t="s">
        <v>145</v>
      </c>
      <c r="B60" s="6" t="s">
        <v>108</v>
      </c>
      <c r="C60" s="6" t="s">
        <v>109</v>
      </c>
      <c r="D60" s="7" t="s">
        <v>53</v>
      </c>
      <c r="E60" s="7" t="s">
        <v>72</v>
      </c>
      <c r="F60" s="7" t="s">
        <v>50</v>
      </c>
      <c r="G60" s="8">
        <v>385249</v>
      </c>
      <c r="H60" s="7">
        <v>3</v>
      </c>
      <c r="I60" s="9" t="s">
        <v>56</v>
      </c>
      <c r="J60" s="13" t="str">
        <f>LOWER(Table1[[#This Row],[First Name]]&amp;"."&amp;Table1[[#This Row],[Last name]]&amp;"@dame.com")</f>
        <v>bello.ngozi@dame.com</v>
      </c>
      <c r="K60" s="11">
        <f>LEN(Table1[[#This Row],[Last name]])+LEN(Table1[[#This Row],[First Name]])</f>
        <v>10</v>
      </c>
      <c r="L60" s="11" t="str">
        <f>UPPER(Table1[[#This Row],[Department]])</f>
        <v>MARKETING</v>
      </c>
      <c r="M60" s="11" t="str">
        <f t="shared" si="2"/>
        <v>marketing</v>
      </c>
      <c r="N60" s="12" t="str">
        <f t="shared" si="3"/>
        <v>Marketing</v>
      </c>
    </row>
    <row r="61" ht="16.5" customHeight="1" spans="1:14">
      <c r="A61" s="5" t="s">
        <v>146</v>
      </c>
      <c r="B61" s="6" t="s">
        <v>58</v>
      </c>
      <c r="C61" s="6" t="s">
        <v>59</v>
      </c>
      <c r="D61" s="7" t="s">
        <v>48</v>
      </c>
      <c r="E61" s="7" t="s">
        <v>104</v>
      </c>
      <c r="F61" s="7" t="s">
        <v>50</v>
      </c>
      <c r="G61" s="8">
        <v>485946</v>
      </c>
      <c r="H61" s="7">
        <v>4</v>
      </c>
      <c r="I61" s="9" t="s">
        <v>68</v>
      </c>
      <c r="J61" s="13" t="str">
        <f>LOWER(Table1[[#This Row],[First Name]]&amp;"."&amp;Table1[[#This Row],[Last name]]&amp;"@dame.com")</f>
        <v>udo.faith@dame.com</v>
      </c>
      <c r="K61" s="11">
        <f>LEN(Table1[[#This Row],[Last name]])+LEN(Table1[[#This Row],[First Name]])</f>
        <v>8</v>
      </c>
      <c r="L61" s="11" t="str">
        <f>UPPER(Table1[[#This Row],[Department]])</f>
        <v>IT</v>
      </c>
      <c r="M61" s="11" t="str">
        <f t="shared" si="2"/>
        <v>it</v>
      </c>
      <c r="N61" s="12" t="str">
        <f t="shared" si="3"/>
        <v>It</v>
      </c>
    </row>
    <row r="62" ht="16.5" customHeight="1" spans="1:14">
      <c r="A62" s="5" t="s">
        <v>147</v>
      </c>
      <c r="B62" s="6" t="s">
        <v>108</v>
      </c>
      <c r="C62" s="6" t="s">
        <v>109</v>
      </c>
      <c r="D62" s="7" t="s">
        <v>62</v>
      </c>
      <c r="E62" s="7" t="s">
        <v>54</v>
      </c>
      <c r="F62" s="7" t="s">
        <v>55</v>
      </c>
      <c r="G62" s="8">
        <v>481575</v>
      </c>
      <c r="H62" s="7">
        <v>3</v>
      </c>
      <c r="I62" s="9" t="s">
        <v>56</v>
      </c>
      <c r="J62" s="13" t="str">
        <f>LOWER(Table1[[#This Row],[First Name]]&amp;"."&amp;Table1[[#This Row],[Last name]]&amp;"@dame.com")</f>
        <v>bello.ngozi@dame.com</v>
      </c>
      <c r="K62" s="11">
        <f>LEN(Table1[[#This Row],[Last name]])+LEN(Table1[[#This Row],[First Name]])</f>
        <v>10</v>
      </c>
      <c r="L62" s="11" t="str">
        <f>UPPER(Table1[[#This Row],[Department]])</f>
        <v>FINANCE</v>
      </c>
      <c r="M62" s="11" t="str">
        <f t="shared" si="2"/>
        <v>finance</v>
      </c>
      <c r="N62" s="12" t="str">
        <f t="shared" si="3"/>
        <v>Finance</v>
      </c>
    </row>
    <row r="63" ht="16.5" customHeight="1" spans="1:14">
      <c r="A63" s="5" t="s">
        <v>148</v>
      </c>
      <c r="B63" s="6" t="s">
        <v>87</v>
      </c>
      <c r="C63" s="6" t="s">
        <v>88</v>
      </c>
      <c r="D63" s="7" t="s">
        <v>48</v>
      </c>
      <c r="E63" s="7" t="s">
        <v>54</v>
      </c>
      <c r="F63" s="7" t="s">
        <v>55</v>
      </c>
      <c r="G63" s="8">
        <v>345273</v>
      </c>
      <c r="H63" s="7">
        <v>6</v>
      </c>
      <c r="I63" s="9" t="s">
        <v>56</v>
      </c>
      <c r="J63" s="13" t="str">
        <f>LOWER(Table1[[#This Row],[First Name]]&amp;"."&amp;Table1[[#This Row],[Last name]]&amp;"@dame.com")</f>
        <v>umeh.chika@dame.com</v>
      </c>
      <c r="K63" s="11">
        <f>LEN(Table1[[#This Row],[Last name]])+LEN(Table1[[#This Row],[First Name]])</f>
        <v>9</v>
      </c>
      <c r="L63" s="11" t="str">
        <f>UPPER(Table1[[#This Row],[Department]])</f>
        <v>IT</v>
      </c>
      <c r="M63" s="11" t="str">
        <f t="shared" si="2"/>
        <v>it</v>
      </c>
      <c r="N63" s="12" t="str">
        <f t="shared" si="3"/>
        <v>It</v>
      </c>
    </row>
    <row r="64" ht="16.5" customHeight="1" spans="1:14">
      <c r="A64" s="5" t="s">
        <v>149</v>
      </c>
      <c r="B64" s="6" t="s">
        <v>98</v>
      </c>
      <c r="C64" s="6" t="s">
        <v>99</v>
      </c>
      <c r="D64" s="7" t="s">
        <v>48</v>
      </c>
      <c r="E64" s="7" t="s">
        <v>79</v>
      </c>
      <c r="F64" s="7" t="s">
        <v>55</v>
      </c>
      <c r="G64" s="8">
        <v>201172</v>
      </c>
      <c r="H64" s="7">
        <v>8</v>
      </c>
      <c r="I64" s="9" t="s">
        <v>68</v>
      </c>
      <c r="J64" s="13" t="str">
        <f>LOWER(Table1[[#This Row],[First Name]]&amp;"."&amp;Table1[[#This Row],[Last name]]&amp;"@dame.com")</f>
        <v>okafor.maria@dame.com</v>
      </c>
      <c r="K64" s="11">
        <f>LEN(Table1[[#This Row],[Last name]])+LEN(Table1[[#This Row],[First Name]])</f>
        <v>11</v>
      </c>
      <c r="L64" s="11" t="str">
        <f>UPPER(Table1[[#This Row],[Department]])</f>
        <v>IT</v>
      </c>
      <c r="M64" s="11" t="str">
        <f t="shared" si="2"/>
        <v>it</v>
      </c>
      <c r="N64" s="12" t="str">
        <f t="shared" si="3"/>
        <v>It</v>
      </c>
    </row>
    <row r="65" ht="16.5" customHeight="1" spans="1:14">
      <c r="A65" s="5" t="s">
        <v>150</v>
      </c>
      <c r="B65" s="6" t="s">
        <v>70</v>
      </c>
      <c r="C65" s="6" t="s">
        <v>71</v>
      </c>
      <c r="D65" s="7" t="s">
        <v>53</v>
      </c>
      <c r="E65" s="7" t="s">
        <v>63</v>
      </c>
      <c r="F65" s="7" t="s">
        <v>55</v>
      </c>
      <c r="G65" s="8">
        <v>321800</v>
      </c>
      <c r="H65" s="7">
        <v>7</v>
      </c>
      <c r="I65" s="9" t="s">
        <v>51</v>
      </c>
      <c r="J65" s="13" t="str">
        <f>LOWER(Table1[[#This Row],[First Name]]&amp;"."&amp;Table1[[#This Row],[Last name]]&amp;"@dame.com")</f>
        <v>salisu.tunde@dame.com</v>
      </c>
      <c r="K65" s="11">
        <f>LEN(Table1[[#This Row],[Last name]])+LEN(Table1[[#This Row],[First Name]])</f>
        <v>11</v>
      </c>
      <c r="L65" s="11" t="str">
        <f>UPPER(Table1[[#This Row],[Department]])</f>
        <v>MARKETING</v>
      </c>
      <c r="M65" s="11" t="str">
        <f t="shared" si="2"/>
        <v>marketing</v>
      </c>
      <c r="N65" s="12" t="str">
        <f t="shared" si="3"/>
        <v>Marketing</v>
      </c>
    </row>
    <row r="66" ht="16.5" customHeight="1" spans="1:14">
      <c r="A66" s="5" t="s">
        <v>151</v>
      </c>
      <c r="B66" s="6" t="s">
        <v>66</v>
      </c>
      <c r="C66" s="6" t="s">
        <v>67</v>
      </c>
      <c r="D66" s="7" t="s">
        <v>60</v>
      </c>
      <c r="E66" s="7" t="s">
        <v>101</v>
      </c>
      <c r="F66" s="7" t="s">
        <v>55</v>
      </c>
      <c r="G66" s="8">
        <v>478662</v>
      </c>
      <c r="H66" s="7">
        <v>2</v>
      </c>
      <c r="I66" s="9" t="s">
        <v>68</v>
      </c>
      <c r="J66" s="13" t="str">
        <f>LOWER(Table1[[#This Row],[First Name]]&amp;"."&amp;Table1[[#This Row],[Last name]]&amp;"@dame.com")</f>
        <v>musa.ibrahim@dame.com</v>
      </c>
      <c r="K66" s="11">
        <f>LEN(Table1[[#This Row],[Last name]])+LEN(Table1[[#This Row],[First Name]])</f>
        <v>11</v>
      </c>
      <c r="L66" s="11" t="str">
        <f>UPPER(Table1[[#This Row],[Department]])</f>
        <v>SALES</v>
      </c>
      <c r="M66" s="11" t="str">
        <f t="shared" ref="M66:M102" si="4">LOWER(D66)</f>
        <v>sales</v>
      </c>
      <c r="N66" s="12" t="str">
        <f t="shared" ref="N66:N102" si="5">PROPER(D66)</f>
        <v>Sales</v>
      </c>
    </row>
    <row r="67" ht="16.5" customHeight="1" spans="1:14">
      <c r="A67" s="5" t="s">
        <v>152</v>
      </c>
      <c r="B67" s="6" t="s">
        <v>74</v>
      </c>
      <c r="C67" s="6" t="s">
        <v>75</v>
      </c>
      <c r="D67" s="7" t="s">
        <v>83</v>
      </c>
      <c r="E67" s="7" t="s">
        <v>101</v>
      </c>
      <c r="F67" s="7" t="s">
        <v>55</v>
      </c>
      <c r="G67" s="8">
        <v>447144</v>
      </c>
      <c r="H67" s="7">
        <v>10</v>
      </c>
      <c r="I67" s="9" t="s">
        <v>77</v>
      </c>
      <c r="J67" s="13" t="str">
        <f>LOWER(Table1[[#This Row],[First Name]]&amp;"."&amp;Table1[[#This Row],[Last name]]&amp;"@dame.com")</f>
        <v>obi.james@dame.com</v>
      </c>
      <c r="K67" s="11">
        <f>LEN(Table1[[#This Row],[Last name]])+LEN(Table1[[#This Row],[First Name]])</f>
        <v>8</v>
      </c>
      <c r="L67" s="11" t="str">
        <f>UPPER(Table1[[#This Row],[Department]])</f>
        <v>HR</v>
      </c>
      <c r="M67" s="11" t="str">
        <f t="shared" si="4"/>
        <v>hr</v>
      </c>
      <c r="N67" s="12" t="str">
        <f t="shared" si="5"/>
        <v>Hr</v>
      </c>
    </row>
    <row r="68" ht="16.5" customHeight="1" spans="1:14">
      <c r="A68" s="5" t="s">
        <v>153</v>
      </c>
      <c r="B68" s="6" t="s">
        <v>58</v>
      </c>
      <c r="C68" s="6" t="s">
        <v>59</v>
      </c>
      <c r="D68" s="7" t="s">
        <v>62</v>
      </c>
      <c r="E68" s="7" t="s">
        <v>89</v>
      </c>
      <c r="F68" s="7" t="s">
        <v>55</v>
      </c>
      <c r="G68" s="8">
        <v>367942</v>
      </c>
      <c r="H68" s="7">
        <v>8</v>
      </c>
      <c r="I68" s="9" t="s">
        <v>51</v>
      </c>
      <c r="J68" s="13" t="str">
        <f>LOWER(Table1[[#This Row],[First Name]]&amp;"."&amp;Table1[[#This Row],[Last name]]&amp;"@dame.com")</f>
        <v>udo.faith@dame.com</v>
      </c>
      <c r="K68" s="11">
        <f>LEN(Table1[[#This Row],[Last name]])+LEN(Table1[[#This Row],[First Name]])</f>
        <v>8</v>
      </c>
      <c r="L68" s="11" t="str">
        <f>UPPER(Table1[[#This Row],[Department]])</f>
        <v>FINANCE</v>
      </c>
      <c r="M68" s="11" t="str">
        <f t="shared" si="4"/>
        <v>finance</v>
      </c>
      <c r="N68" s="12" t="str">
        <f t="shared" si="5"/>
        <v>Finance</v>
      </c>
    </row>
    <row r="69" ht="16.5" customHeight="1" spans="1:14">
      <c r="A69" s="5" t="s">
        <v>154</v>
      </c>
      <c r="B69" s="6" t="s">
        <v>108</v>
      </c>
      <c r="C69" s="6" t="s">
        <v>109</v>
      </c>
      <c r="D69" s="7" t="s">
        <v>60</v>
      </c>
      <c r="E69" s="7" t="s">
        <v>104</v>
      </c>
      <c r="F69" s="7" t="s">
        <v>50</v>
      </c>
      <c r="G69" s="8">
        <v>225459</v>
      </c>
      <c r="H69" s="7">
        <v>2</v>
      </c>
      <c r="I69" s="9" t="s">
        <v>68</v>
      </c>
      <c r="J69" s="13" t="str">
        <f>LOWER(Table1[[#This Row],[First Name]]&amp;"."&amp;Table1[[#This Row],[Last name]]&amp;"@dame.com")</f>
        <v>bello.ngozi@dame.com</v>
      </c>
      <c r="K69" s="11">
        <f>LEN(Table1[[#This Row],[Last name]])+LEN(Table1[[#This Row],[First Name]])</f>
        <v>10</v>
      </c>
      <c r="L69" s="11" t="str">
        <f>UPPER(Table1[[#This Row],[Department]])</f>
        <v>SALES</v>
      </c>
      <c r="M69" s="11" t="str">
        <f t="shared" si="4"/>
        <v>sales</v>
      </c>
      <c r="N69" s="12" t="str">
        <f t="shared" si="5"/>
        <v>Sales</v>
      </c>
    </row>
    <row r="70" ht="16.5" customHeight="1" spans="1:14">
      <c r="A70" s="5" t="s">
        <v>155</v>
      </c>
      <c r="B70" s="6" t="s">
        <v>70</v>
      </c>
      <c r="C70" s="6" t="s">
        <v>71</v>
      </c>
      <c r="D70" s="7" t="s">
        <v>48</v>
      </c>
      <c r="E70" s="7" t="s">
        <v>101</v>
      </c>
      <c r="F70" s="7" t="s">
        <v>50</v>
      </c>
      <c r="G70" s="8">
        <v>334185</v>
      </c>
      <c r="H70" s="7">
        <v>2</v>
      </c>
      <c r="I70" s="9" t="s">
        <v>51</v>
      </c>
      <c r="J70" s="13" t="str">
        <f>LOWER(Table1[[#This Row],[First Name]]&amp;"."&amp;Table1[[#This Row],[Last name]]&amp;"@dame.com")</f>
        <v>salisu.tunde@dame.com</v>
      </c>
      <c r="K70" s="11">
        <f>LEN(Table1[[#This Row],[Last name]])+LEN(Table1[[#This Row],[First Name]])</f>
        <v>11</v>
      </c>
      <c r="L70" s="11" t="str">
        <f>UPPER(Table1[[#This Row],[Department]])</f>
        <v>IT</v>
      </c>
      <c r="M70" s="11" t="str">
        <f t="shared" si="4"/>
        <v>it</v>
      </c>
      <c r="N70" s="12" t="str">
        <f t="shared" si="5"/>
        <v>It</v>
      </c>
    </row>
    <row r="71" ht="16.5" customHeight="1" spans="1:14">
      <c r="A71" s="5" t="s">
        <v>156</v>
      </c>
      <c r="B71" s="6" t="s">
        <v>87</v>
      </c>
      <c r="C71" s="6" t="s">
        <v>88</v>
      </c>
      <c r="D71" s="7" t="s">
        <v>48</v>
      </c>
      <c r="E71" s="7" t="s">
        <v>104</v>
      </c>
      <c r="F71" s="7" t="s">
        <v>55</v>
      </c>
      <c r="G71" s="8">
        <v>329104</v>
      </c>
      <c r="H71" s="7">
        <v>2</v>
      </c>
      <c r="I71" s="9" t="s">
        <v>64</v>
      </c>
      <c r="J71" s="13" t="str">
        <f>LOWER(Table1[[#This Row],[First Name]]&amp;"."&amp;Table1[[#This Row],[Last name]]&amp;"@dame.com")</f>
        <v>umeh.chika@dame.com</v>
      </c>
      <c r="K71" s="11">
        <f>LEN(Table1[[#This Row],[Last name]])+LEN(Table1[[#This Row],[First Name]])</f>
        <v>9</v>
      </c>
      <c r="L71" s="11" t="str">
        <f>UPPER(Table1[[#This Row],[Department]])</f>
        <v>IT</v>
      </c>
      <c r="M71" s="11" t="str">
        <f t="shared" si="4"/>
        <v>it</v>
      </c>
      <c r="N71" s="12" t="str">
        <f t="shared" si="5"/>
        <v>It</v>
      </c>
    </row>
    <row r="72" ht="16.5" customHeight="1" spans="1:14">
      <c r="A72" s="5" t="s">
        <v>157</v>
      </c>
      <c r="B72" s="6" t="s">
        <v>66</v>
      </c>
      <c r="C72" s="6" t="s">
        <v>67</v>
      </c>
      <c r="D72" s="7" t="s">
        <v>48</v>
      </c>
      <c r="E72" s="7" t="s">
        <v>49</v>
      </c>
      <c r="F72" s="7" t="s">
        <v>55</v>
      </c>
      <c r="G72" s="8">
        <v>253559</v>
      </c>
      <c r="H72" s="7">
        <v>4</v>
      </c>
      <c r="I72" s="9" t="s">
        <v>77</v>
      </c>
      <c r="J72" s="13" t="str">
        <f>LOWER(Table1[[#This Row],[First Name]]&amp;"."&amp;Table1[[#This Row],[Last name]]&amp;"@dame.com")</f>
        <v>musa.ibrahim@dame.com</v>
      </c>
      <c r="K72" s="11">
        <f>LEN(Table1[[#This Row],[Last name]])+LEN(Table1[[#This Row],[First Name]])</f>
        <v>11</v>
      </c>
      <c r="L72" s="11" t="str">
        <f>UPPER(Table1[[#This Row],[Department]])</f>
        <v>IT</v>
      </c>
      <c r="M72" s="11" t="str">
        <f t="shared" si="4"/>
        <v>it</v>
      </c>
      <c r="N72" s="12" t="str">
        <f t="shared" si="5"/>
        <v>It</v>
      </c>
    </row>
    <row r="73" ht="16.5" customHeight="1" spans="1:14">
      <c r="A73" s="5" t="s">
        <v>158</v>
      </c>
      <c r="B73" s="6" t="s">
        <v>66</v>
      </c>
      <c r="C73" s="6" t="s">
        <v>67</v>
      </c>
      <c r="D73" s="7" t="s">
        <v>53</v>
      </c>
      <c r="E73" s="7" t="s">
        <v>49</v>
      </c>
      <c r="F73" s="7" t="s">
        <v>50</v>
      </c>
      <c r="G73" s="8">
        <v>203632</v>
      </c>
      <c r="H73" s="7">
        <v>4</v>
      </c>
      <c r="I73" s="9" t="s">
        <v>56</v>
      </c>
      <c r="J73" s="13" t="str">
        <f>LOWER(Table1[[#This Row],[First Name]]&amp;"."&amp;Table1[[#This Row],[Last name]]&amp;"@dame.com")</f>
        <v>musa.ibrahim@dame.com</v>
      </c>
      <c r="K73" s="11">
        <f>LEN(Table1[[#This Row],[Last name]])+LEN(Table1[[#This Row],[First Name]])</f>
        <v>11</v>
      </c>
      <c r="L73" s="11" t="str">
        <f>UPPER(Table1[[#This Row],[Department]])</f>
        <v>MARKETING</v>
      </c>
      <c r="M73" s="11" t="str">
        <f t="shared" si="4"/>
        <v>marketing</v>
      </c>
      <c r="N73" s="12" t="str">
        <f t="shared" si="5"/>
        <v>Marketing</v>
      </c>
    </row>
    <row r="74" ht="16.5" customHeight="1" spans="1:14">
      <c r="A74" s="5" t="s">
        <v>159</v>
      </c>
      <c r="B74" s="6" t="s">
        <v>46</v>
      </c>
      <c r="C74" s="6" t="s">
        <v>47</v>
      </c>
      <c r="D74" s="7" t="s">
        <v>48</v>
      </c>
      <c r="E74" s="7" t="s">
        <v>85</v>
      </c>
      <c r="F74" s="7" t="s">
        <v>55</v>
      </c>
      <c r="G74" s="8">
        <v>404012</v>
      </c>
      <c r="H74" s="7">
        <v>7</v>
      </c>
      <c r="I74" s="9" t="s">
        <v>68</v>
      </c>
      <c r="J74" s="13" t="str">
        <f>LOWER(Table1[[#This Row],[First Name]]&amp;"."&amp;Table1[[#This Row],[Last name]]&amp;"@dame.com")</f>
        <v>bassey.sade@dame.com</v>
      </c>
      <c r="K74" s="11">
        <f>LEN(Table1[[#This Row],[Last name]])+LEN(Table1[[#This Row],[First Name]])</f>
        <v>10</v>
      </c>
      <c r="L74" s="11" t="str">
        <f>UPPER(Table1[[#This Row],[Department]])</f>
        <v>IT</v>
      </c>
      <c r="M74" s="11" t="str">
        <f t="shared" si="4"/>
        <v>it</v>
      </c>
      <c r="N74" s="12" t="str">
        <f t="shared" si="5"/>
        <v>It</v>
      </c>
    </row>
    <row r="75" ht="16.5" customHeight="1" spans="1:14">
      <c r="A75" s="5" t="s">
        <v>160</v>
      </c>
      <c r="B75" s="6" t="s">
        <v>98</v>
      </c>
      <c r="C75" s="6" t="s">
        <v>99</v>
      </c>
      <c r="D75" s="7" t="s">
        <v>48</v>
      </c>
      <c r="E75" s="7" t="s">
        <v>104</v>
      </c>
      <c r="F75" s="7" t="s">
        <v>50</v>
      </c>
      <c r="G75" s="8">
        <v>493395</v>
      </c>
      <c r="H75" s="7">
        <v>4</v>
      </c>
      <c r="I75" s="9" t="s">
        <v>51</v>
      </c>
      <c r="J75" s="13" t="str">
        <f>LOWER(Table1[[#This Row],[First Name]]&amp;"."&amp;Table1[[#This Row],[Last name]]&amp;"@dame.com")</f>
        <v>okafor.maria@dame.com</v>
      </c>
      <c r="K75" s="11">
        <f>LEN(Table1[[#This Row],[Last name]])+LEN(Table1[[#This Row],[First Name]])</f>
        <v>11</v>
      </c>
      <c r="L75" s="11" t="str">
        <f>UPPER(Table1[[#This Row],[Department]])</f>
        <v>IT</v>
      </c>
      <c r="M75" s="11" t="str">
        <f t="shared" si="4"/>
        <v>it</v>
      </c>
      <c r="N75" s="12" t="str">
        <f t="shared" si="5"/>
        <v>It</v>
      </c>
    </row>
    <row r="76" ht="16.5" customHeight="1" spans="1:14">
      <c r="A76" s="5" t="s">
        <v>161</v>
      </c>
      <c r="B76" s="6" t="s">
        <v>66</v>
      </c>
      <c r="C76" s="6" t="s">
        <v>67</v>
      </c>
      <c r="D76" s="7" t="s">
        <v>60</v>
      </c>
      <c r="E76" s="7" t="s">
        <v>85</v>
      </c>
      <c r="F76" s="7" t="s">
        <v>50</v>
      </c>
      <c r="G76" s="8">
        <v>372679</v>
      </c>
      <c r="H76" s="7">
        <v>2</v>
      </c>
      <c r="I76" s="9" t="s">
        <v>51</v>
      </c>
      <c r="J76" s="13" t="str">
        <f>LOWER(Table1[[#This Row],[First Name]]&amp;"."&amp;Table1[[#This Row],[Last name]]&amp;"@dame.com")</f>
        <v>musa.ibrahim@dame.com</v>
      </c>
      <c r="K76" s="11">
        <f>LEN(Table1[[#This Row],[Last name]])+LEN(Table1[[#This Row],[First Name]])</f>
        <v>11</v>
      </c>
      <c r="L76" s="11" t="str">
        <f>UPPER(Table1[[#This Row],[Department]])</f>
        <v>SALES</v>
      </c>
      <c r="M76" s="11" t="str">
        <f t="shared" si="4"/>
        <v>sales</v>
      </c>
      <c r="N76" s="12" t="str">
        <f t="shared" si="5"/>
        <v>Sales</v>
      </c>
    </row>
    <row r="77" ht="16.5" customHeight="1" spans="1:14">
      <c r="A77" s="5" t="s">
        <v>162</v>
      </c>
      <c r="B77" s="6" t="s">
        <v>58</v>
      </c>
      <c r="C77" s="6" t="s">
        <v>59</v>
      </c>
      <c r="D77" s="7" t="s">
        <v>83</v>
      </c>
      <c r="E77" s="7" t="s">
        <v>54</v>
      </c>
      <c r="F77" s="7" t="s">
        <v>55</v>
      </c>
      <c r="G77" s="8">
        <v>464770</v>
      </c>
      <c r="H77" s="7">
        <v>9</v>
      </c>
      <c r="I77" s="9" t="s">
        <v>51</v>
      </c>
      <c r="J77" s="13" t="str">
        <f>LOWER(Table1[[#This Row],[First Name]]&amp;"."&amp;Table1[[#This Row],[Last name]]&amp;"@dame.com")</f>
        <v>udo.faith@dame.com</v>
      </c>
      <c r="K77" s="11">
        <f>LEN(Table1[[#This Row],[Last name]])+LEN(Table1[[#This Row],[First Name]])</f>
        <v>8</v>
      </c>
      <c r="L77" s="11" t="str">
        <f>UPPER(Table1[[#This Row],[Department]])</f>
        <v>HR</v>
      </c>
      <c r="M77" s="11" t="str">
        <f t="shared" si="4"/>
        <v>hr</v>
      </c>
      <c r="N77" s="12" t="str">
        <f t="shared" si="5"/>
        <v>Hr</v>
      </c>
    </row>
    <row r="78" ht="16.5" customHeight="1" spans="1:14">
      <c r="A78" s="5" t="s">
        <v>163</v>
      </c>
      <c r="B78" s="6" t="s">
        <v>98</v>
      </c>
      <c r="C78" s="6" t="s">
        <v>99</v>
      </c>
      <c r="D78" s="7" t="s">
        <v>60</v>
      </c>
      <c r="E78" s="7" t="s">
        <v>101</v>
      </c>
      <c r="F78" s="7" t="s">
        <v>55</v>
      </c>
      <c r="G78" s="8">
        <v>360225</v>
      </c>
      <c r="H78" s="7">
        <v>3</v>
      </c>
      <c r="I78" s="9" t="s">
        <v>56</v>
      </c>
      <c r="J78" s="13" t="str">
        <f>LOWER(Table1[[#This Row],[First Name]]&amp;"."&amp;Table1[[#This Row],[Last name]]&amp;"@dame.com")</f>
        <v>okafor.maria@dame.com</v>
      </c>
      <c r="K78" s="11">
        <f>LEN(Table1[[#This Row],[Last name]])+LEN(Table1[[#This Row],[First Name]])</f>
        <v>11</v>
      </c>
      <c r="L78" s="11" t="str">
        <f>UPPER(Table1[[#This Row],[Department]])</f>
        <v>SALES</v>
      </c>
      <c r="M78" s="11" t="str">
        <f t="shared" si="4"/>
        <v>sales</v>
      </c>
      <c r="N78" s="12" t="str">
        <f t="shared" si="5"/>
        <v>Sales</v>
      </c>
    </row>
    <row r="79" ht="16.5" customHeight="1" spans="1:14">
      <c r="A79" s="5" t="s">
        <v>164</v>
      </c>
      <c r="B79" s="6" t="s">
        <v>66</v>
      </c>
      <c r="C79" s="6" t="s">
        <v>67</v>
      </c>
      <c r="D79" s="7" t="s">
        <v>48</v>
      </c>
      <c r="E79" s="7" t="s">
        <v>89</v>
      </c>
      <c r="F79" s="7" t="s">
        <v>50</v>
      </c>
      <c r="G79" s="8">
        <v>422249</v>
      </c>
      <c r="H79" s="7">
        <v>10</v>
      </c>
      <c r="I79" s="9" t="s">
        <v>77</v>
      </c>
      <c r="J79" s="13" t="str">
        <f>LOWER(Table1[[#This Row],[First Name]]&amp;"."&amp;Table1[[#This Row],[Last name]]&amp;"@dame.com")</f>
        <v>musa.ibrahim@dame.com</v>
      </c>
      <c r="K79" s="11">
        <f>LEN(Table1[[#This Row],[Last name]])+LEN(Table1[[#This Row],[First Name]])</f>
        <v>11</v>
      </c>
      <c r="L79" s="11" t="str">
        <f>UPPER(Table1[[#This Row],[Department]])</f>
        <v>IT</v>
      </c>
      <c r="M79" s="11" t="str">
        <f t="shared" si="4"/>
        <v>it</v>
      </c>
      <c r="N79" s="12" t="str">
        <f t="shared" si="5"/>
        <v>It</v>
      </c>
    </row>
    <row r="80" ht="16.5" customHeight="1" spans="1:14">
      <c r="A80" s="5" t="s">
        <v>165</v>
      </c>
      <c r="B80" s="6" t="s">
        <v>70</v>
      </c>
      <c r="C80" s="6" t="s">
        <v>71</v>
      </c>
      <c r="D80" s="7" t="s">
        <v>60</v>
      </c>
      <c r="E80" s="7" t="s">
        <v>104</v>
      </c>
      <c r="F80" s="7" t="s">
        <v>55</v>
      </c>
      <c r="G80" s="8">
        <v>343548</v>
      </c>
      <c r="H80" s="7">
        <v>7</v>
      </c>
      <c r="I80" s="9" t="s">
        <v>68</v>
      </c>
      <c r="J80" s="13" t="str">
        <f>LOWER(Table1[[#This Row],[First Name]]&amp;"."&amp;Table1[[#This Row],[Last name]]&amp;"@dame.com")</f>
        <v>salisu.tunde@dame.com</v>
      </c>
      <c r="K80" s="11">
        <f>LEN(Table1[[#This Row],[Last name]])+LEN(Table1[[#This Row],[First Name]])</f>
        <v>11</v>
      </c>
      <c r="L80" s="11" t="str">
        <f>UPPER(Table1[[#This Row],[Department]])</f>
        <v>SALES</v>
      </c>
      <c r="M80" s="11" t="str">
        <f t="shared" si="4"/>
        <v>sales</v>
      </c>
      <c r="N80" s="12" t="str">
        <f t="shared" si="5"/>
        <v>Sales</v>
      </c>
    </row>
    <row r="81" ht="16.5" customHeight="1" spans="1:14">
      <c r="A81" s="5" t="s">
        <v>166</v>
      </c>
      <c r="B81" s="6" t="s">
        <v>87</v>
      </c>
      <c r="C81" s="6" t="s">
        <v>88</v>
      </c>
      <c r="D81" s="7" t="s">
        <v>53</v>
      </c>
      <c r="E81" s="7" t="s">
        <v>54</v>
      </c>
      <c r="F81" s="7" t="s">
        <v>50</v>
      </c>
      <c r="G81" s="8">
        <v>429470</v>
      </c>
      <c r="H81" s="7">
        <v>3</v>
      </c>
      <c r="I81" s="9" t="s">
        <v>51</v>
      </c>
      <c r="J81" s="13" t="str">
        <f>LOWER(Table1[[#This Row],[First Name]]&amp;"."&amp;Table1[[#This Row],[Last name]]&amp;"@dame.com")</f>
        <v>umeh.chika@dame.com</v>
      </c>
      <c r="K81" s="11">
        <f>LEN(Table1[[#This Row],[Last name]])+LEN(Table1[[#This Row],[First Name]])</f>
        <v>9</v>
      </c>
      <c r="L81" s="11" t="str">
        <f>UPPER(Table1[[#This Row],[Department]])</f>
        <v>MARKETING</v>
      </c>
      <c r="M81" s="11" t="str">
        <f t="shared" si="4"/>
        <v>marketing</v>
      </c>
      <c r="N81" s="12" t="str">
        <f t="shared" si="5"/>
        <v>Marketing</v>
      </c>
    </row>
    <row r="82" ht="16.5" customHeight="1" spans="1:14">
      <c r="A82" s="5" t="s">
        <v>167</v>
      </c>
      <c r="B82" s="6" t="s">
        <v>98</v>
      </c>
      <c r="C82" s="6" t="s">
        <v>99</v>
      </c>
      <c r="D82" s="7" t="s">
        <v>83</v>
      </c>
      <c r="E82" s="7" t="s">
        <v>72</v>
      </c>
      <c r="F82" s="7" t="s">
        <v>55</v>
      </c>
      <c r="G82" s="8">
        <v>228264</v>
      </c>
      <c r="H82" s="7">
        <v>5</v>
      </c>
      <c r="I82" s="9" t="s">
        <v>68</v>
      </c>
      <c r="J82" s="13" t="str">
        <f>LOWER(Table1[[#This Row],[First Name]]&amp;"."&amp;Table1[[#This Row],[Last name]]&amp;"@dame.com")</f>
        <v>okafor.maria@dame.com</v>
      </c>
      <c r="K82" s="11">
        <f>LEN(Table1[[#This Row],[Last name]])+LEN(Table1[[#This Row],[First Name]])</f>
        <v>11</v>
      </c>
      <c r="L82" s="11" t="str">
        <f>UPPER(Table1[[#This Row],[Department]])</f>
        <v>HR</v>
      </c>
      <c r="M82" s="11" t="str">
        <f t="shared" si="4"/>
        <v>hr</v>
      </c>
      <c r="N82" s="12" t="str">
        <f t="shared" si="5"/>
        <v>Hr</v>
      </c>
    </row>
    <row r="83" ht="16.5" customHeight="1" spans="1:14">
      <c r="A83" s="5" t="s">
        <v>168</v>
      </c>
      <c r="B83" s="6" t="s">
        <v>74</v>
      </c>
      <c r="C83" s="6" t="s">
        <v>75</v>
      </c>
      <c r="D83" s="7" t="s">
        <v>60</v>
      </c>
      <c r="E83" s="7" t="s">
        <v>63</v>
      </c>
      <c r="F83" s="7" t="s">
        <v>50</v>
      </c>
      <c r="G83" s="8">
        <v>481733</v>
      </c>
      <c r="H83" s="7">
        <v>7</v>
      </c>
      <c r="I83" s="9" t="s">
        <v>56</v>
      </c>
      <c r="J83" s="13" t="str">
        <f>LOWER(Table1[[#This Row],[First Name]]&amp;"."&amp;Table1[[#This Row],[Last name]]&amp;"@dame.com")</f>
        <v>obi.james@dame.com</v>
      </c>
      <c r="K83" s="11">
        <f>LEN(Table1[[#This Row],[Last name]])+LEN(Table1[[#This Row],[First Name]])</f>
        <v>8</v>
      </c>
      <c r="L83" s="11" t="str">
        <f>UPPER(Table1[[#This Row],[Department]])</f>
        <v>SALES</v>
      </c>
      <c r="M83" s="11" t="str">
        <f t="shared" si="4"/>
        <v>sales</v>
      </c>
      <c r="N83" s="12" t="str">
        <f t="shared" si="5"/>
        <v>Sales</v>
      </c>
    </row>
    <row r="84" ht="16.5" customHeight="1" spans="1:14">
      <c r="A84" s="5" t="s">
        <v>169</v>
      </c>
      <c r="B84" s="6" t="s">
        <v>74</v>
      </c>
      <c r="C84" s="6" t="s">
        <v>75</v>
      </c>
      <c r="D84" s="7" t="s">
        <v>48</v>
      </c>
      <c r="E84" s="7" t="s">
        <v>49</v>
      </c>
      <c r="F84" s="7" t="s">
        <v>50</v>
      </c>
      <c r="G84" s="8">
        <v>253954</v>
      </c>
      <c r="H84" s="7">
        <v>2</v>
      </c>
      <c r="I84" s="9" t="s">
        <v>56</v>
      </c>
      <c r="J84" s="13" t="str">
        <f>LOWER(Table1[[#This Row],[First Name]]&amp;"."&amp;Table1[[#This Row],[Last name]]&amp;"@dame.com")</f>
        <v>obi.james@dame.com</v>
      </c>
      <c r="K84" s="11">
        <f>LEN(Table1[[#This Row],[Last name]])+LEN(Table1[[#This Row],[First Name]])</f>
        <v>8</v>
      </c>
      <c r="L84" s="11" t="str">
        <f>UPPER(Table1[[#This Row],[Department]])</f>
        <v>IT</v>
      </c>
      <c r="M84" s="11" t="str">
        <f t="shared" si="4"/>
        <v>it</v>
      </c>
      <c r="N84" s="12" t="str">
        <f t="shared" si="5"/>
        <v>It</v>
      </c>
    </row>
    <row r="85" ht="16.5" customHeight="1" spans="1:14">
      <c r="A85" s="5" t="s">
        <v>170</v>
      </c>
      <c r="B85" s="6" t="s">
        <v>74</v>
      </c>
      <c r="C85" s="6" t="s">
        <v>75</v>
      </c>
      <c r="D85" s="7" t="s">
        <v>48</v>
      </c>
      <c r="E85" s="7" t="s">
        <v>89</v>
      </c>
      <c r="F85" s="7" t="s">
        <v>50</v>
      </c>
      <c r="G85" s="8">
        <v>338029</v>
      </c>
      <c r="H85" s="7">
        <v>6</v>
      </c>
      <c r="I85" s="9" t="s">
        <v>77</v>
      </c>
      <c r="J85" s="13" t="str">
        <f>LOWER(Table1[[#This Row],[First Name]]&amp;"."&amp;Table1[[#This Row],[Last name]]&amp;"@dame.com")</f>
        <v>obi.james@dame.com</v>
      </c>
      <c r="K85" s="11">
        <f>LEN(Table1[[#This Row],[Last name]])+LEN(Table1[[#This Row],[First Name]])</f>
        <v>8</v>
      </c>
      <c r="L85" s="11" t="str">
        <f>UPPER(Table1[[#This Row],[Department]])</f>
        <v>IT</v>
      </c>
      <c r="M85" s="11" t="str">
        <f t="shared" si="4"/>
        <v>it</v>
      </c>
      <c r="N85" s="12" t="str">
        <f t="shared" si="5"/>
        <v>It</v>
      </c>
    </row>
    <row r="86" ht="16.5" customHeight="1" spans="1:14">
      <c r="A86" s="5" t="s">
        <v>171</v>
      </c>
      <c r="B86" s="6" t="s">
        <v>108</v>
      </c>
      <c r="C86" s="6" t="s">
        <v>109</v>
      </c>
      <c r="D86" s="7" t="s">
        <v>62</v>
      </c>
      <c r="E86" s="7" t="s">
        <v>101</v>
      </c>
      <c r="F86" s="7" t="s">
        <v>50</v>
      </c>
      <c r="G86" s="8">
        <v>340723</v>
      </c>
      <c r="H86" s="7">
        <v>7</v>
      </c>
      <c r="I86" s="9" t="s">
        <v>51</v>
      </c>
      <c r="J86" s="13" t="str">
        <f>LOWER(Table1[[#This Row],[First Name]]&amp;"."&amp;Table1[[#This Row],[Last name]]&amp;"@dame.com")</f>
        <v>bello.ngozi@dame.com</v>
      </c>
      <c r="K86" s="11">
        <f>LEN(Table1[[#This Row],[Last name]])+LEN(Table1[[#This Row],[First Name]])</f>
        <v>10</v>
      </c>
      <c r="L86" s="11" t="str">
        <f>UPPER(Table1[[#This Row],[Department]])</f>
        <v>FINANCE</v>
      </c>
      <c r="M86" s="11" t="str">
        <f t="shared" si="4"/>
        <v>finance</v>
      </c>
      <c r="N86" s="12" t="str">
        <f t="shared" si="5"/>
        <v>Finance</v>
      </c>
    </row>
    <row r="87" ht="16.5" customHeight="1" spans="1:14">
      <c r="A87" s="5" t="s">
        <v>172</v>
      </c>
      <c r="B87" s="6" t="s">
        <v>58</v>
      </c>
      <c r="C87" s="6" t="s">
        <v>59</v>
      </c>
      <c r="D87" s="7" t="s">
        <v>53</v>
      </c>
      <c r="E87" s="7" t="s">
        <v>49</v>
      </c>
      <c r="F87" s="7" t="s">
        <v>50</v>
      </c>
      <c r="G87" s="8">
        <v>216138</v>
      </c>
      <c r="H87" s="7">
        <v>2</v>
      </c>
      <c r="I87" s="9" t="s">
        <v>51</v>
      </c>
      <c r="J87" s="13" t="str">
        <f>LOWER(Table1[[#This Row],[First Name]]&amp;"."&amp;Table1[[#This Row],[Last name]]&amp;"@dame.com")</f>
        <v>udo.faith@dame.com</v>
      </c>
      <c r="K87" s="11">
        <f>LEN(Table1[[#This Row],[Last name]])+LEN(Table1[[#This Row],[First Name]])</f>
        <v>8</v>
      </c>
      <c r="L87" s="11" t="str">
        <f>UPPER(Table1[[#This Row],[Department]])</f>
        <v>MARKETING</v>
      </c>
      <c r="M87" s="11" t="str">
        <f t="shared" si="4"/>
        <v>marketing</v>
      </c>
      <c r="N87" s="12" t="str">
        <f t="shared" si="5"/>
        <v>Marketing</v>
      </c>
    </row>
    <row r="88" ht="16.5" customHeight="1" spans="1:14">
      <c r="A88" s="5" t="s">
        <v>173</v>
      </c>
      <c r="B88" s="6" t="s">
        <v>87</v>
      </c>
      <c r="C88" s="6" t="s">
        <v>88</v>
      </c>
      <c r="D88" s="7" t="s">
        <v>48</v>
      </c>
      <c r="E88" s="7" t="s">
        <v>85</v>
      </c>
      <c r="F88" s="7" t="s">
        <v>55</v>
      </c>
      <c r="G88" s="8">
        <v>490025</v>
      </c>
      <c r="H88" s="7">
        <v>8</v>
      </c>
      <c r="I88" s="9" t="s">
        <v>56</v>
      </c>
      <c r="J88" s="13" t="str">
        <f>LOWER(Table1[[#This Row],[First Name]]&amp;"."&amp;Table1[[#This Row],[Last name]]&amp;"@dame.com")</f>
        <v>umeh.chika@dame.com</v>
      </c>
      <c r="K88" s="11">
        <f>LEN(Table1[[#This Row],[Last name]])+LEN(Table1[[#This Row],[First Name]])</f>
        <v>9</v>
      </c>
      <c r="L88" s="11" t="str">
        <f>UPPER(Table1[[#This Row],[Department]])</f>
        <v>IT</v>
      </c>
      <c r="M88" s="11" t="str">
        <f t="shared" si="4"/>
        <v>it</v>
      </c>
      <c r="N88" s="12" t="str">
        <f t="shared" si="5"/>
        <v>It</v>
      </c>
    </row>
    <row r="89" ht="16.5" customHeight="1" spans="1:14">
      <c r="A89" s="5" t="s">
        <v>174</v>
      </c>
      <c r="B89" s="6" t="s">
        <v>87</v>
      </c>
      <c r="C89" s="6" t="s">
        <v>88</v>
      </c>
      <c r="D89" s="7" t="s">
        <v>53</v>
      </c>
      <c r="E89" s="7" t="s">
        <v>79</v>
      </c>
      <c r="F89" s="7" t="s">
        <v>50</v>
      </c>
      <c r="G89" s="8">
        <v>339580</v>
      </c>
      <c r="H89" s="7">
        <v>2</v>
      </c>
      <c r="I89" s="9" t="s">
        <v>64</v>
      </c>
      <c r="J89" s="13" t="str">
        <f>LOWER(Table1[[#This Row],[First Name]]&amp;"."&amp;Table1[[#This Row],[Last name]]&amp;"@dame.com")</f>
        <v>umeh.chika@dame.com</v>
      </c>
      <c r="K89" s="11">
        <f>LEN(Table1[[#This Row],[Last name]])+LEN(Table1[[#This Row],[First Name]])</f>
        <v>9</v>
      </c>
      <c r="L89" s="11" t="str">
        <f>UPPER(Table1[[#This Row],[Department]])</f>
        <v>MARKETING</v>
      </c>
      <c r="M89" s="11" t="str">
        <f t="shared" si="4"/>
        <v>marketing</v>
      </c>
      <c r="N89" s="12" t="str">
        <f t="shared" si="5"/>
        <v>Marketing</v>
      </c>
    </row>
    <row r="90" ht="16.5" customHeight="1" spans="1:14">
      <c r="A90" s="5" t="s">
        <v>175</v>
      </c>
      <c r="B90" s="6" t="s">
        <v>66</v>
      </c>
      <c r="C90" s="6" t="s">
        <v>67</v>
      </c>
      <c r="D90" s="7" t="s">
        <v>83</v>
      </c>
      <c r="E90" s="7" t="s">
        <v>89</v>
      </c>
      <c r="F90" s="7" t="s">
        <v>55</v>
      </c>
      <c r="G90" s="8">
        <v>325782</v>
      </c>
      <c r="H90" s="7">
        <v>8</v>
      </c>
      <c r="I90" s="9" t="s">
        <v>64</v>
      </c>
      <c r="J90" s="13" t="str">
        <f>LOWER(Table1[[#This Row],[First Name]]&amp;"."&amp;Table1[[#This Row],[Last name]]&amp;"@dame.com")</f>
        <v>musa.ibrahim@dame.com</v>
      </c>
      <c r="K90" s="11">
        <f>LEN(Table1[[#This Row],[Last name]])+LEN(Table1[[#This Row],[First Name]])</f>
        <v>11</v>
      </c>
      <c r="L90" s="11" t="str">
        <f>UPPER(Table1[[#This Row],[Department]])</f>
        <v>HR</v>
      </c>
      <c r="M90" s="11" t="str">
        <f t="shared" si="4"/>
        <v>hr</v>
      </c>
      <c r="N90" s="12" t="str">
        <f t="shared" si="5"/>
        <v>Hr</v>
      </c>
    </row>
    <row r="91" ht="16.5" customHeight="1" spans="1:14">
      <c r="A91" s="5" t="s">
        <v>176</v>
      </c>
      <c r="B91" s="6" t="s">
        <v>70</v>
      </c>
      <c r="C91" s="6" t="s">
        <v>71</v>
      </c>
      <c r="D91" s="7" t="s">
        <v>48</v>
      </c>
      <c r="E91" s="7" t="s">
        <v>92</v>
      </c>
      <c r="F91" s="7" t="s">
        <v>50</v>
      </c>
      <c r="G91" s="8">
        <v>397430</v>
      </c>
      <c r="H91" s="7">
        <v>10</v>
      </c>
      <c r="I91" s="9" t="s">
        <v>68</v>
      </c>
      <c r="J91" s="13" t="str">
        <f>LOWER(Table1[[#This Row],[First Name]]&amp;"."&amp;Table1[[#This Row],[Last name]]&amp;"@dame.com")</f>
        <v>salisu.tunde@dame.com</v>
      </c>
      <c r="K91" s="11">
        <f>LEN(Table1[[#This Row],[Last name]])+LEN(Table1[[#This Row],[First Name]])</f>
        <v>11</v>
      </c>
      <c r="L91" s="11" t="str">
        <f>UPPER(Table1[[#This Row],[Department]])</f>
        <v>IT</v>
      </c>
      <c r="M91" s="11" t="str">
        <f t="shared" si="4"/>
        <v>it</v>
      </c>
      <c r="N91" s="12" t="str">
        <f t="shared" si="5"/>
        <v>It</v>
      </c>
    </row>
    <row r="92" ht="16.5" customHeight="1" spans="1:14">
      <c r="A92" s="5" t="s">
        <v>177</v>
      </c>
      <c r="B92" s="6" t="s">
        <v>108</v>
      </c>
      <c r="C92" s="6" t="s">
        <v>109</v>
      </c>
      <c r="D92" s="7" t="s">
        <v>62</v>
      </c>
      <c r="E92" s="7" t="s">
        <v>89</v>
      </c>
      <c r="F92" s="7" t="s">
        <v>50</v>
      </c>
      <c r="G92" s="8">
        <v>300847</v>
      </c>
      <c r="H92" s="7">
        <v>4</v>
      </c>
      <c r="I92" s="9" t="s">
        <v>51</v>
      </c>
      <c r="J92" s="13" t="str">
        <f>LOWER(Table1[[#This Row],[First Name]]&amp;"."&amp;Table1[[#This Row],[Last name]]&amp;"@dame.com")</f>
        <v>bello.ngozi@dame.com</v>
      </c>
      <c r="K92" s="11">
        <f>LEN(Table1[[#This Row],[Last name]])+LEN(Table1[[#This Row],[First Name]])</f>
        <v>10</v>
      </c>
      <c r="L92" s="11" t="str">
        <f>UPPER(Table1[[#This Row],[Department]])</f>
        <v>FINANCE</v>
      </c>
      <c r="M92" s="11" t="str">
        <f t="shared" si="4"/>
        <v>finance</v>
      </c>
      <c r="N92" s="12" t="str">
        <f t="shared" si="5"/>
        <v>Finance</v>
      </c>
    </row>
    <row r="93" ht="16.5" customHeight="1" spans="1:14">
      <c r="A93" s="5" t="s">
        <v>178</v>
      </c>
      <c r="B93" s="6" t="s">
        <v>74</v>
      </c>
      <c r="C93" s="6" t="s">
        <v>75</v>
      </c>
      <c r="D93" s="7" t="s">
        <v>48</v>
      </c>
      <c r="E93" s="7" t="s">
        <v>54</v>
      </c>
      <c r="F93" s="7" t="s">
        <v>50</v>
      </c>
      <c r="G93" s="8">
        <v>265948</v>
      </c>
      <c r="H93" s="7">
        <v>6</v>
      </c>
      <c r="I93" s="9" t="s">
        <v>56</v>
      </c>
      <c r="J93" s="13" t="str">
        <f>LOWER(Table1[[#This Row],[First Name]]&amp;"."&amp;Table1[[#This Row],[Last name]]&amp;"@dame.com")</f>
        <v>obi.james@dame.com</v>
      </c>
      <c r="K93" s="11">
        <f>LEN(Table1[[#This Row],[Last name]])+LEN(Table1[[#This Row],[First Name]])</f>
        <v>8</v>
      </c>
      <c r="L93" s="11" t="str">
        <f>UPPER(Table1[[#This Row],[Department]])</f>
        <v>IT</v>
      </c>
      <c r="M93" s="11" t="str">
        <f t="shared" si="4"/>
        <v>it</v>
      </c>
      <c r="N93" s="12" t="str">
        <f t="shared" si="5"/>
        <v>It</v>
      </c>
    </row>
    <row r="94" ht="16.5" customHeight="1" spans="1:14">
      <c r="A94" s="5" t="s">
        <v>179</v>
      </c>
      <c r="B94" s="6" t="s">
        <v>70</v>
      </c>
      <c r="C94" s="6" t="s">
        <v>71</v>
      </c>
      <c r="D94" s="7" t="s">
        <v>83</v>
      </c>
      <c r="E94" s="7" t="s">
        <v>79</v>
      </c>
      <c r="F94" s="7" t="s">
        <v>55</v>
      </c>
      <c r="G94" s="8">
        <v>341060</v>
      </c>
      <c r="H94" s="7">
        <v>7</v>
      </c>
      <c r="I94" s="9" t="s">
        <v>77</v>
      </c>
      <c r="J94" s="13" t="str">
        <f>LOWER(Table1[[#This Row],[First Name]]&amp;"."&amp;Table1[[#This Row],[Last name]]&amp;"@dame.com")</f>
        <v>salisu.tunde@dame.com</v>
      </c>
      <c r="K94" s="11">
        <f>LEN(Table1[[#This Row],[Last name]])+LEN(Table1[[#This Row],[First Name]])</f>
        <v>11</v>
      </c>
      <c r="L94" s="11" t="str">
        <f>UPPER(Table1[[#This Row],[Department]])</f>
        <v>HR</v>
      </c>
      <c r="M94" s="11" t="str">
        <f t="shared" si="4"/>
        <v>hr</v>
      </c>
      <c r="N94" s="12" t="str">
        <f t="shared" si="5"/>
        <v>Hr</v>
      </c>
    </row>
    <row r="95" ht="16.5" customHeight="1" spans="1:14">
      <c r="A95" s="5" t="s">
        <v>180</v>
      </c>
      <c r="B95" s="6" t="s">
        <v>108</v>
      </c>
      <c r="C95" s="6" t="s">
        <v>109</v>
      </c>
      <c r="D95" s="7" t="s">
        <v>53</v>
      </c>
      <c r="E95" s="7" t="s">
        <v>63</v>
      </c>
      <c r="F95" s="7" t="s">
        <v>55</v>
      </c>
      <c r="G95" s="8">
        <v>326977</v>
      </c>
      <c r="H95" s="7">
        <v>4</v>
      </c>
      <c r="I95" s="9" t="s">
        <v>56</v>
      </c>
      <c r="J95" s="13" t="str">
        <f>LOWER(Table1[[#This Row],[First Name]]&amp;"."&amp;Table1[[#This Row],[Last name]]&amp;"@dame.com")</f>
        <v>bello.ngozi@dame.com</v>
      </c>
      <c r="K95" s="11">
        <f>LEN(Table1[[#This Row],[Last name]])+LEN(Table1[[#This Row],[First Name]])</f>
        <v>10</v>
      </c>
      <c r="L95" s="11" t="str">
        <f>UPPER(Table1[[#This Row],[Department]])</f>
        <v>MARKETING</v>
      </c>
      <c r="M95" s="11" t="str">
        <f t="shared" si="4"/>
        <v>marketing</v>
      </c>
      <c r="N95" s="12" t="str">
        <f t="shared" si="5"/>
        <v>Marketing</v>
      </c>
    </row>
    <row r="96" ht="16.5" customHeight="1" spans="1:14">
      <c r="A96" s="5" t="s">
        <v>181</v>
      </c>
      <c r="B96" s="6" t="s">
        <v>70</v>
      </c>
      <c r="C96" s="6" t="s">
        <v>71</v>
      </c>
      <c r="D96" s="7" t="s">
        <v>48</v>
      </c>
      <c r="E96" s="7" t="s">
        <v>49</v>
      </c>
      <c r="F96" s="7" t="s">
        <v>50</v>
      </c>
      <c r="G96" s="8">
        <v>433031</v>
      </c>
      <c r="H96" s="7">
        <v>1</v>
      </c>
      <c r="I96" s="9" t="s">
        <v>56</v>
      </c>
      <c r="J96" s="13" t="str">
        <f>LOWER(Table1[[#This Row],[First Name]]&amp;"."&amp;Table1[[#This Row],[Last name]]&amp;"@dame.com")</f>
        <v>salisu.tunde@dame.com</v>
      </c>
      <c r="K96" s="11">
        <f>LEN(Table1[[#This Row],[Last name]])+LEN(Table1[[#This Row],[First Name]])</f>
        <v>11</v>
      </c>
      <c r="L96" s="11" t="str">
        <f>UPPER(Table1[[#This Row],[Department]])</f>
        <v>IT</v>
      </c>
      <c r="M96" s="11" t="str">
        <f t="shared" si="4"/>
        <v>it</v>
      </c>
      <c r="N96" s="12" t="str">
        <f t="shared" si="5"/>
        <v>It</v>
      </c>
    </row>
    <row r="97" ht="16.5" customHeight="1" spans="1:14">
      <c r="A97" s="5" t="s">
        <v>182</v>
      </c>
      <c r="B97" s="6" t="s">
        <v>66</v>
      </c>
      <c r="C97" s="6" t="s">
        <v>67</v>
      </c>
      <c r="D97" s="7" t="s">
        <v>53</v>
      </c>
      <c r="E97" s="7" t="s">
        <v>72</v>
      </c>
      <c r="F97" s="7" t="s">
        <v>50</v>
      </c>
      <c r="G97" s="8">
        <v>421034</v>
      </c>
      <c r="H97" s="7">
        <v>3</v>
      </c>
      <c r="I97" s="9" t="s">
        <v>64</v>
      </c>
      <c r="J97" s="13" t="str">
        <f>LOWER(Table1[[#This Row],[First Name]]&amp;"."&amp;Table1[[#This Row],[Last name]]&amp;"@dame.com")</f>
        <v>musa.ibrahim@dame.com</v>
      </c>
      <c r="K97" s="11">
        <f>LEN(Table1[[#This Row],[Last name]])+LEN(Table1[[#This Row],[First Name]])</f>
        <v>11</v>
      </c>
      <c r="L97" s="11" t="str">
        <f>UPPER(Table1[[#This Row],[Department]])</f>
        <v>MARKETING</v>
      </c>
      <c r="M97" s="11" t="str">
        <f t="shared" si="4"/>
        <v>marketing</v>
      </c>
      <c r="N97" s="12" t="str">
        <f t="shared" si="5"/>
        <v>Marketing</v>
      </c>
    </row>
    <row r="98" ht="16.5" customHeight="1" spans="1:14">
      <c r="A98" s="5" t="s">
        <v>183</v>
      </c>
      <c r="B98" s="6" t="s">
        <v>58</v>
      </c>
      <c r="C98" s="6" t="s">
        <v>59</v>
      </c>
      <c r="D98" s="7" t="s">
        <v>83</v>
      </c>
      <c r="E98" s="7" t="s">
        <v>54</v>
      </c>
      <c r="F98" s="7" t="s">
        <v>50</v>
      </c>
      <c r="G98" s="8">
        <v>363199</v>
      </c>
      <c r="H98" s="7">
        <v>4</v>
      </c>
      <c r="I98" s="9" t="s">
        <v>68</v>
      </c>
      <c r="J98" s="13" t="str">
        <f>LOWER(Table1[[#This Row],[First Name]]&amp;"."&amp;Table1[[#This Row],[Last name]]&amp;"@dame.com")</f>
        <v>udo.faith@dame.com</v>
      </c>
      <c r="K98" s="11">
        <f>LEN(Table1[[#This Row],[Last name]])+LEN(Table1[[#This Row],[First Name]])</f>
        <v>8</v>
      </c>
      <c r="L98" s="11" t="str">
        <f>UPPER(Table1[[#This Row],[Department]])</f>
        <v>HR</v>
      </c>
      <c r="M98" s="11" t="str">
        <f t="shared" si="4"/>
        <v>hr</v>
      </c>
      <c r="N98" s="12" t="str">
        <f t="shared" si="5"/>
        <v>Hr</v>
      </c>
    </row>
    <row r="99" ht="16.5" customHeight="1" spans="1:14">
      <c r="A99" s="5" t="s">
        <v>184</v>
      </c>
      <c r="B99" s="6" t="s">
        <v>70</v>
      </c>
      <c r="C99" s="6" t="s">
        <v>71</v>
      </c>
      <c r="D99" s="7" t="s">
        <v>53</v>
      </c>
      <c r="E99" s="7" t="s">
        <v>89</v>
      </c>
      <c r="F99" s="7" t="s">
        <v>50</v>
      </c>
      <c r="G99" s="8">
        <v>399940</v>
      </c>
      <c r="H99" s="7">
        <v>7</v>
      </c>
      <c r="I99" s="9" t="s">
        <v>51</v>
      </c>
      <c r="J99" s="13" t="str">
        <f>LOWER(Table1[[#This Row],[First Name]]&amp;"."&amp;Table1[[#This Row],[Last name]]&amp;"@dame.com")</f>
        <v>salisu.tunde@dame.com</v>
      </c>
      <c r="K99" s="11">
        <f>LEN(Table1[[#This Row],[Last name]])+LEN(Table1[[#This Row],[First Name]])</f>
        <v>11</v>
      </c>
      <c r="L99" s="11" t="str">
        <f>UPPER(Table1[[#This Row],[Department]])</f>
        <v>MARKETING</v>
      </c>
      <c r="M99" s="11" t="str">
        <f t="shared" si="4"/>
        <v>marketing</v>
      </c>
      <c r="N99" s="12" t="str">
        <f t="shared" si="5"/>
        <v>Marketing</v>
      </c>
    </row>
    <row r="100" ht="16.5" customHeight="1" spans="1:14">
      <c r="A100" s="5" t="s">
        <v>185</v>
      </c>
      <c r="B100" s="6" t="s">
        <v>74</v>
      </c>
      <c r="C100" s="6" t="s">
        <v>75</v>
      </c>
      <c r="D100" s="7" t="s">
        <v>48</v>
      </c>
      <c r="E100" s="7" t="s">
        <v>101</v>
      </c>
      <c r="F100" s="7" t="s">
        <v>50</v>
      </c>
      <c r="G100" s="8">
        <v>231891</v>
      </c>
      <c r="H100" s="7">
        <v>4</v>
      </c>
      <c r="I100" s="9" t="s">
        <v>68</v>
      </c>
      <c r="J100" s="13" t="str">
        <f>LOWER(Table1[[#This Row],[First Name]]&amp;"."&amp;Table1[[#This Row],[Last name]]&amp;"@dame.com")</f>
        <v>obi.james@dame.com</v>
      </c>
      <c r="K100" s="11">
        <f>LEN(Table1[[#This Row],[Last name]])+LEN(Table1[[#This Row],[First Name]])</f>
        <v>8</v>
      </c>
      <c r="L100" s="11" t="str">
        <f>UPPER(Table1[[#This Row],[Department]])</f>
        <v>IT</v>
      </c>
      <c r="M100" s="11" t="str">
        <f t="shared" si="4"/>
        <v>it</v>
      </c>
      <c r="N100" s="12" t="str">
        <f t="shared" si="5"/>
        <v>It</v>
      </c>
    </row>
    <row r="101" ht="16.5" customHeight="1" spans="1:14">
      <c r="A101" s="14" t="s">
        <v>186</v>
      </c>
      <c r="B101" s="15" t="s">
        <v>58</v>
      </c>
      <c r="C101" s="15" t="s">
        <v>59</v>
      </c>
      <c r="D101" s="16" t="s">
        <v>60</v>
      </c>
      <c r="E101" s="16" t="s">
        <v>104</v>
      </c>
      <c r="F101" s="16" t="s">
        <v>50</v>
      </c>
      <c r="G101" s="17">
        <v>203199</v>
      </c>
      <c r="H101" s="16">
        <v>8</v>
      </c>
      <c r="I101" s="18" t="s">
        <v>77</v>
      </c>
      <c r="J101" s="19" t="str">
        <f>LOWER(Table1[[#This Row],[First Name]]&amp;"."&amp;Table1[[#This Row],[Last name]]&amp;"@dame.com")</f>
        <v>udo.faith@dame.com</v>
      </c>
      <c r="K101" s="11">
        <f>LEN(Table1[[#This Row],[Last name]])+LEN(Table1[[#This Row],[First Name]])</f>
        <v>8</v>
      </c>
      <c r="L101" s="11" t="str">
        <f>UPPER(Table1[[#This Row],[Department]])</f>
        <v>SALES</v>
      </c>
      <c r="M101" s="11" t="str">
        <f t="shared" si="4"/>
        <v>sales</v>
      </c>
      <c r="N101" s="12" t="str">
        <f t="shared" si="5"/>
        <v>Sales</v>
      </c>
    </row>
    <row r="102" ht="16.5" customHeight="1" spans="1:14">
      <c r="A102" s="20"/>
      <c r="B102" s="19"/>
      <c r="C102" s="19"/>
      <c r="D102" s="19"/>
      <c r="E102" s="19"/>
      <c r="F102" s="19" t="s">
        <v>187</v>
      </c>
      <c r="G102" s="21">
        <f>SUM(G2:G101)</f>
        <v>34862380</v>
      </c>
      <c r="H102" s="19"/>
      <c r="I102" s="22"/>
      <c r="J102" s="23"/>
      <c r="K102" s="24">
        <f>LEN(Table1[[#This Row],[Last name]])+LEN(Table1[[#This Row],[First Name]])</f>
        <v>0</v>
      </c>
      <c r="L102" s="24" t="str">
        <f>UPPER(Table1[[#This Row],[Department]])</f>
        <v/>
      </c>
      <c r="M102" s="24" t="str">
        <f t="shared" si="4"/>
        <v/>
      </c>
      <c r="N102" s="24" t="str">
        <f t="shared" si="5"/>
        <v/>
      </c>
    </row>
    <row r="103" ht="16.5" customHeight="1"/>
    <row r="104" ht="16.5" customHeight="1" spans="1:14">
      <c r="F104" s="11" t="s">
        <v>188</v>
      </c>
      <c r="G104" s="25">
        <f>AVERAGE(G2:G101)</f>
        <v>348623.8</v>
      </c>
    </row>
    <row r="105" ht="16.5" customHeight="1"/>
    <row r="106" ht="16.5" customHeight="1" spans="1:14">
      <c r="F106" s="11" t="s">
        <v>189</v>
      </c>
      <c r="G106">
        <f>COUNTA(A2:A101)</f>
        <v>100</v>
      </c>
    </row>
    <row r="107" ht="16.5" customHeight="1"/>
    <row r="108" ht="16.5" customHeight="1" spans="1:14">
      <c r="F108" s="11" t="s">
        <v>190</v>
      </c>
      <c r="G108">
        <f>SUMIF(D2:D101,Sheet1!D101,G2:G101)</f>
        <v>6081869</v>
      </c>
    </row>
    <row r="109" ht="16.5" customHeight="1"/>
    <row r="110" ht="16.5" customHeight="1" spans="1:14">
      <c r="F110" s="11" t="s">
        <v>191</v>
      </c>
      <c r="G110">
        <f>AVERAGEIF(D2:D101,D94,G2:G101)</f>
        <v>353549.25</v>
      </c>
    </row>
    <row r="111" ht="16.5" customHeight="1"/>
    <row r="112" ht="16.5" customHeight="1" spans="1:14">
      <c r="F112" s="11" t="s">
        <v>192</v>
      </c>
      <c r="G112">
        <f>SUMIFS(G2:G101,I2:I101,"Lagos",H2:H101,"&gt; 3")</f>
        <v>5470326</v>
      </c>
    </row>
    <row r="113" ht="16.5" customHeight="1"/>
    <row r="114" ht="16.5" customHeight="1" spans="5:7">
      <c r="F114" s="11" t="s">
        <v>193</v>
      </c>
      <c r="G114">
        <f>AVERAGEIFS(G2:G101,I2:I101,"Lagos",F2:F101,"Female")</f>
        <v>315870.8</v>
      </c>
    </row>
    <row r="115" ht="16.5" customHeight="1"/>
    <row r="116" ht="16.5" customHeight="1" spans="5:7">
      <c r="F116" s="11" t="s">
        <v>194</v>
      </c>
      <c r="G116">
        <f>COUNTIFS(F2:F101,"Male",I2:I101,"Lagos")</f>
        <v>15</v>
      </c>
    </row>
    <row r="117" ht="16.5" customHeight="1"/>
    <row r="118" ht="16.5" customHeight="1" spans="5:7">
      <c r="E118" s="11" t="s">
        <v>195</v>
      </c>
      <c r="F118" s="11" t="s">
        <v>196</v>
      </c>
      <c r="G118" s="11">
        <f t="array" ref="G118">MAX(IF(D2:D101="IT",G2:G101))</f>
        <v>493395</v>
      </c>
    </row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Check here for my Process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Cartoon</dc:creator>
  <cp:lastModifiedBy>Cartoon</cp:lastModifiedBy>
  <dcterms:created xsi:type="dcterms:W3CDTF">2025-10-30T12:28:00Z</dcterms:created>
  <dcterms:modified xsi:type="dcterms:W3CDTF">2026-05-14T00:56:39Z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CE00C0CAC4898A452A1C436918F75BB2_42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